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sele\Desktop\Job search\BEST STUFF\"/>
    </mc:Choice>
  </mc:AlternateContent>
  <xr:revisionPtr revIDLastSave="0" documentId="8_{4A2721E6-0C28-477B-AC11-E18F3EEDCB41}" xr6:coauthVersionLast="47" xr6:coauthVersionMax="47" xr10:uidLastSave="{00000000-0000-0000-0000-000000000000}"/>
  <bookViews>
    <workbookView xWindow="384" yWindow="384" windowWidth="23040" windowHeight="12168" firstSheet="4" activeTab="4" xr2:uid="{F1E84A12-1174-D340-A7DD-CB926D9A333E}"/>
  </bookViews>
  <sheets>
    <sheet name="Assumptions" sheetId="4" r:id="rId1"/>
    <sheet name="FCF Components" sheetId="1" r:id="rId2"/>
    <sheet name="FCF Calculation" sheetId="3" r:id="rId3"/>
    <sheet name="WACC Calculation" sheetId="6" r:id="rId4"/>
    <sheet name="DCF" sheetId="7" r:id="rId5"/>
    <sheet name="Comps" sheetId="9" r:id="rId6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4" l="1"/>
  <c r="H32" i="1"/>
  <c r="H31" i="1"/>
  <c r="H34" i="1"/>
  <c r="I54" i="4"/>
  <c r="H37" i="1"/>
  <c r="I60" i="4"/>
  <c r="H38" i="1"/>
  <c r="I66" i="4"/>
  <c r="H39" i="1"/>
  <c r="I72" i="4"/>
  <c r="H40" i="1"/>
  <c r="I78" i="4"/>
  <c r="H41" i="1"/>
  <c r="H43" i="1"/>
  <c r="H45" i="1"/>
  <c r="C6" i="3"/>
  <c r="C8" i="3"/>
  <c r="H78" i="1"/>
  <c r="H79" i="1"/>
  <c r="H81" i="1"/>
  <c r="H93" i="1"/>
  <c r="C11" i="3"/>
  <c r="C12" i="3"/>
  <c r="G2" i="7"/>
  <c r="L1" i="1"/>
  <c r="G2" i="3"/>
  <c r="L11" i="9"/>
  <c r="L14" i="9"/>
  <c r="L16" i="9"/>
  <c r="L17" i="9"/>
  <c r="C3" i="9"/>
  <c r="G3" i="9"/>
  <c r="C12" i="9"/>
  <c r="G12" i="9"/>
  <c r="C4" i="9"/>
  <c r="G4" i="9"/>
  <c r="C13" i="9"/>
  <c r="G13" i="9"/>
  <c r="C5" i="9"/>
  <c r="G5" i="9"/>
  <c r="C14" i="9"/>
  <c r="G14" i="9"/>
  <c r="C6" i="9"/>
  <c r="G6" i="9"/>
  <c r="C15" i="9"/>
  <c r="G15" i="9"/>
  <c r="C7" i="9"/>
  <c r="G7" i="9"/>
  <c r="C16" i="9"/>
  <c r="G16" i="9"/>
  <c r="C8" i="9"/>
  <c r="G8" i="9"/>
  <c r="C17" i="9"/>
  <c r="G17" i="9"/>
  <c r="G18" i="9"/>
  <c r="L4" i="9"/>
  <c r="K4" i="9"/>
  <c r="M4" i="9"/>
  <c r="C21" i="9"/>
  <c r="G21" i="9"/>
  <c r="C22" i="9"/>
  <c r="G22" i="9"/>
  <c r="C23" i="9"/>
  <c r="G23" i="9"/>
  <c r="C24" i="9"/>
  <c r="G24" i="9"/>
  <c r="C25" i="9"/>
  <c r="G25" i="9"/>
  <c r="C26" i="9"/>
  <c r="G26" i="9"/>
  <c r="G27" i="9"/>
  <c r="L5" i="9"/>
  <c r="K5" i="9"/>
  <c r="M5" i="9"/>
  <c r="C30" i="9"/>
  <c r="G30" i="9"/>
  <c r="C31" i="9"/>
  <c r="G31" i="9"/>
  <c r="C32" i="9"/>
  <c r="G32" i="9"/>
  <c r="C33" i="9"/>
  <c r="G33" i="9"/>
  <c r="C34" i="9"/>
  <c r="G34" i="9"/>
  <c r="C35" i="9"/>
  <c r="G35" i="9"/>
  <c r="G36" i="9"/>
  <c r="L6" i="9"/>
  <c r="M6" i="9"/>
  <c r="L12" i="9"/>
  <c r="L15" i="9"/>
  <c r="G39" i="9"/>
  <c r="G40" i="9"/>
  <c r="G41" i="9"/>
  <c r="G42" i="9"/>
  <c r="G43" i="9"/>
  <c r="G44" i="9"/>
  <c r="G45" i="9"/>
  <c r="L10" i="9"/>
  <c r="K10" i="9"/>
  <c r="N10" i="9"/>
  <c r="M10" i="9"/>
  <c r="N6" i="9"/>
  <c r="O6" i="9"/>
  <c r="N5" i="9"/>
  <c r="O5" i="9"/>
  <c r="N4" i="9"/>
  <c r="O4" i="9"/>
  <c r="J69" i="4"/>
  <c r="K69" i="4"/>
  <c r="L69" i="4"/>
  <c r="M69" i="4"/>
  <c r="I69" i="4"/>
  <c r="J26" i="7"/>
  <c r="M129" i="4"/>
  <c r="L129" i="4"/>
  <c r="K129" i="4"/>
  <c r="J129" i="4"/>
  <c r="I129" i="4"/>
  <c r="M123" i="4"/>
  <c r="L123" i="4"/>
  <c r="K123" i="4"/>
  <c r="J123" i="4"/>
  <c r="I123" i="4"/>
  <c r="M117" i="4"/>
  <c r="L117" i="4"/>
  <c r="K117" i="4"/>
  <c r="J117" i="4"/>
  <c r="I117" i="4"/>
  <c r="M111" i="4"/>
  <c r="L111" i="4"/>
  <c r="K111" i="4"/>
  <c r="J111" i="4"/>
  <c r="I111" i="4"/>
  <c r="M105" i="4"/>
  <c r="L105" i="4"/>
  <c r="K105" i="4"/>
  <c r="J105" i="4"/>
  <c r="I105" i="4"/>
  <c r="M99" i="4"/>
  <c r="L99" i="4"/>
  <c r="K99" i="4"/>
  <c r="J99" i="4"/>
  <c r="I99" i="4"/>
  <c r="M93" i="4"/>
  <c r="L93" i="4"/>
  <c r="K93" i="4"/>
  <c r="J93" i="4"/>
  <c r="I93" i="4"/>
  <c r="M87" i="4"/>
  <c r="L87" i="4"/>
  <c r="K87" i="4"/>
  <c r="J87" i="4"/>
  <c r="I87" i="4"/>
  <c r="M81" i="4"/>
  <c r="L81" i="4"/>
  <c r="K81" i="4"/>
  <c r="J81" i="4"/>
  <c r="I81" i="4"/>
  <c r="M75" i="4"/>
  <c r="L75" i="4"/>
  <c r="K75" i="4"/>
  <c r="J75" i="4"/>
  <c r="I75" i="4"/>
  <c r="M63" i="4"/>
  <c r="L63" i="4"/>
  <c r="K63" i="4"/>
  <c r="J63" i="4"/>
  <c r="I63" i="4"/>
  <c r="M57" i="4"/>
  <c r="L57" i="4"/>
  <c r="K57" i="4"/>
  <c r="J57" i="4"/>
  <c r="I57" i="4"/>
  <c r="M51" i="4"/>
  <c r="L51" i="4"/>
  <c r="K51" i="4"/>
  <c r="J51" i="4"/>
  <c r="I51" i="4"/>
  <c r="M45" i="4"/>
  <c r="L45" i="4"/>
  <c r="K45" i="4"/>
  <c r="J45" i="4"/>
  <c r="I45" i="4"/>
  <c r="M39" i="4"/>
  <c r="L39" i="4"/>
  <c r="K39" i="4"/>
  <c r="J39" i="4"/>
  <c r="I39" i="4"/>
  <c r="M33" i="4"/>
  <c r="L33" i="4"/>
  <c r="K33" i="4"/>
  <c r="J33" i="4"/>
  <c r="I33" i="4"/>
  <c r="M27" i="4"/>
  <c r="L27" i="4"/>
  <c r="K27" i="4"/>
  <c r="J27" i="4"/>
  <c r="I27" i="4"/>
  <c r="M21" i="4"/>
  <c r="L21" i="4"/>
  <c r="K21" i="4"/>
  <c r="J21" i="4"/>
  <c r="I21" i="4"/>
  <c r="J15" i="4"/>
  <c r="K15" i="4"/>
  <c r="L15" i="4"/>
  <c r="M15" i="4"/>
  <c r="I15" i="4"/>
  <c r="M127" i="4"/>
  <c r="L127" i="4"/>
  <c r="K127" i="4"/>
  <c r="J127" i="4"/>
  <c r="I127" i="4"/>
  <c r="M121" i="4"/>
  <c r="L121" i="4"/>
  <c r="K121" i="4"/>
  <c r="J121" i="4"/>
  <c r="I121" i="4"/>
  <c r="M115" i="4"/>
  <c r="L115" i="4"/>
  <c r="K115" i="4"/>
  <c r="J115" i="4"/>
  <c r="I115" i="4"/>
  <c r="M109" i="4"/>
  <c r="L109" i="4"/>
  <c r="K109" i="4"/>
  <c r="J109" i="4"/>
  <c r="I109" i="4"/>
  <c r="M103" i="4"/>
  <c r="L103" i="4"/>
  <c r="K103" i="4"/>
  <c r="J103" i="4"/>
  <c r="I103" i="4"/>
  <c r="M97" i="4"/>
  <c r="L97" i="4"/>
  <c r="K97" i="4"/>
  <c r="J97" i="4"/>
  <c r="I97" i="4"/>
  <c r="M91" i="4"/>
  <c r="L91" i="4"/>
  <c r="K91" i="4"/>
  <c r="J91" i="4"/>
  <c r="I91" i="4"/>
  <c r="M85" i="4"/>
  <c r="L85" i="4"/>
  <c r="K85" i="4"/>
  <c r="J85" i="4"/>
  <c r="I85" i="4"/>
  <c r="M79" i="4"/>
  <c r="L79" i="4"/>
  <c r="K79" i="4"/>
  <c r="J79" i="4"/>
  <c r="I79" i="4"/>
  <c r="M73" i="4"/>
  <c r="L73" i="4"/>
  <c r="K73" i="4"/>
  <c r="J73" i="4"/>
  <c r="I73" i="4"/>
  <c r="M67" i="4"/>
  <c r="L67" i="4"/>
  <c r="K67" i="4"/>
  <c r="J67" i="4"/>
  <c r="I67" i="4"/>
  <c r="M61" i="4"/>
  <c r="L61" i="4"/>
  <c r="K61" i="4"/>
  <c r="J61" i="4"/>
  <c r="I61" i="4"/>
  <c r="M55" i="4"/>
  <c r="L55" i="4"/>
  <c r="K55" i="4"/>
  <c r="J55" i="4"/>
  <c r="I55" i="4"/>
  <c r="M49" i="4"/>
  <c r="L49" i="4"/>
  <c r="K49" i="4"/>
  <c r="J49" i="4"/>
  <c r="I49" i="4"/>
  <c r="M43" i="4"/>
  <c r="L43" i="4"/>
  <c r="K43" i="4"/>
  <c r="J43" i="4"/>
  <c r="I43" i="4"/>
  <c r="M37" i="4"/>
  <c r="L37" i="4"/>
  <c r="K37" i="4"/>
  <c r="J37" i="4"/>
  <c r="I37" i="4"/>
  <c r="M31" i="4"/>
  <c r="L31" i="4"/>
  <c r="K31" i="4"/>
  <c r="J31" i="4"/>
  <c r="I31" i="4"/>
  <c r="M25" i="4"/>
  <c r="L25" i="4"/>
  <c r="K25" i="4"/>
  <c r="J25" i="4"/>
  <c r="I25" i="4"/>
  <c r="M19" i="4"/>
  <c r="L19" i="4"/>
  <c r="K19" i="4"/>
  <c r="J19" i="4"/>
  <c r="I19" i="4"/>
  <c r="J13" i="4"/>
  <c r="K13" i="4"/>
  <c r="L13" i="4"/>
  <c r="M13" i="4"/>
  <c r="I13" i="4"/>
  <c r="H25" i="1"/>
  <c r="H22" i="1"/>
  <c r="H19" i="1"/>
  <c r="H16" i="1"/>
  <c r="H13" i="1"/>
  <c r="H10" i="1"/>
  <c r="H7" i="1"/>
  <c r="H28" i="1"/>
  <c r="H51" i="1"/>
  <c r="D92" i="4"/>
  <c r="E28" i="1"/>
  <c r="E34" i="1"/>
  <c r="E45" i="1"/>
  <c r="E51" i="1"/>
  <c r="F92" i="4"/>
  <c r="F28" i="1"/>
  <c r="F34" i="1"/>
  <c r="F45" i="1"/>
  <c r="F51" i="1"/>
  <c r="G92" i="4"/>
  <c r="G28" i="1"/>
  <c r="G34" i="1"/>
  <c r="G45" i="1"/>
  <c r="G51" i="1"/>
  <c r="H92" i="4"/>
  <c r="D132" i="4"/>
  <c r="H52" i="1"/>
  <c r="J48" i="4"/>
  <c r="I26" i="1"/>
  <c r="I25" i="1"/>
  <c r="J42" i="4"/>
  <c r="I23" i="1"/>
  <c r="I22" i="1"/>
  <c r="J36" i="4"/>
  <c r="I20" i="1"/>
  <c r="I19" i="1"/>
  <c r="J30" i="4"/>
  <c r="I17" i="1"/>
  <c r="I16" i="1"/>
  <c r="J24" i="4"/>
  <c r="I14" i="1"/>
  <c r="I13" i="1"/>
  <c r="J18" i="4"/>
  <c r="I11" i="1"/>
  <c r="I10" i="1"/>
  <c r="I7" i="1"/>
  <c r="I28" i="1"/>
  <c r="J84" i="4"/>
  <c r="I32" i="1"/>
  <c r="I31" i="1"/>
  <c r="I34" i="1"/>
  <c r="J54" i="4"/>
  <c r="I37" i="1"/>
  <c r="J60" i="4"/>
  <c r="I38" i="1"/>
  <c r="J66" i="4"/>
  <c r="I39" i="1"/>
  <c r="J72" i="4"/>
  <c r="I40" i="1"/>
  <c r="J78" i="4"/>
  <c r="I41" i="1"/>
  <c r="I43" i="1"/>
  <c r="I45" i="1"/>
  <c r="I51" i="1"/>
  <c r="I52" i="1"/>
  <c r="K48" i="4"/>
  <c r="J26" i="1"/>
  <c r="J25" i="1"/>
  <c r="K42" i="4"/>
  <c r="J23" i="1"/>
  <c r="J22" i="1"/>
  <c r="K36" i="4"/>
  <c r="J20" i="1"/>
  <c r="J19" i="1"/>
  <c r="K30" i="4"/>
  <c r="J17" i="1"/>
  <c r="J16" i="1"/>
  <c r="K24" i="4"/>
  <c r="J14" i="1"/>
  <c r="J13" i="1"/>
  <c r="K18" i="4"/>
  <c r="J11" i="1"/>
  <c r="J10" i="1"/>
  <c r="J7" i="1"/>
  <c r="J28" i="1"/>
  <c r="K84" i="4"/>
  <c r="J32" i="1"/>
  <c r="J31" i="1"/>
  <c r="J34" i="1"/>
  <c r="K54" i="4"/>
  <c r="J37" i="1"/>
  <c r="K60" i="4"/>
  <c r="J38" i="1"/>
  <c r="K66" i="4"/>
  <c r="J39" i="1"/>
  <c r="K72" i="4"/>
  <c r="J40" i="1"/>
  <c r="K78" i="4"/>
  <c r="J41" i="1"/>
  <c r="J43" i="1"/>
  <c r="J45" i="1"/>
  <c r="J51" i="1"/>
  <c r="J52" i="1"/>
  <c r="L48" i="4"/>
  <c r="K26" i="1"/>
  <c r="K25" i="1"/>
  <c r="L42" i="4"/>
  <c r="K23" i="1"/>
  <c r="K22" i="1"/>
  <c r="L36" i="4"/>
  <c r="K20" i="1"/>
  <c r="K19" i="1"/>
  <c r="L30" i="4"/>
  <c r="K17" i="1"/>
  <c r="K16" i="1"/>
  <c r="L24" i="4"/>
  <c r="K14" i="1"/>
  <c r="K13" i="1"/>
  <c r="L18" i="4"/>
  <c r="K11" i="1"/>
  <c r="K10" i="1"/>
  <c r="K7" i="1"/>
  <c r="K28" i="1"/>
  <c r="L84" i="4"/>
  <c r="K32" i="1"/>
  <c r="K31" i="1"/>
  <c r="K34" i="1"/>
  <c r="L54" i="4"/>
  <c r="K37" i="1"/>
  <c r="L60" i="4"/>
  <c r="K38" i="1"/>
  <c r="L66" i="4"/>
  <c r="K39" i="1"/>
  <c r="L72" i="4"/>
  <c r="K40" i="1"/>
  <c r="L78" i="4"/>
  <c r="K41" i="1"/>
  <c r="K43" i="1"/>
  <c r="K45" i="1"/>
  <c r="K51" i="1"/>
  <c r="K52" i="1"/>
  <c r="M48" i="4"/>
  <c r="L26" i="1"/>
  <c r="L25" i="1"/>
  <c r="M42" i="4"/>
  <c r="L23" i="1"/>
  <c r="L22" i="1"/>
  <c r="M36" i="4"/>
  <c r="L20" i="1"/>
  <c r="L19" i="1"/>
  <c r="M30" i="4"/>
  <c r="L17" i="1"/>
  <c r="L16" i="1"/>
  <c r="M24" i="4"/>
  <c r="L14" i="1"/>
  <c r="L13" i="1"/>
  <c r="M18" i="4"/>
  <c r="L11" i="1"/>
  <c r="L10" i="1"/>
  <c r="L7" i="1"/>
  <c r="L28" i="1"/>
  <c r="M84" i="4"/>
  <c r="L32" i="1"/>
  <c r="L31" i="1"/>
  <c r="L34" i="1"/>
  <c r="M54" i="4"/>
  <c r="L37" i="1"/>
  <c r="M60" i="4"/>
  <c r="L38" i="1"/>
  <c r="M66" i="4"/>
  <c r="L39" i="1"/>
  <c r="M72" i="4"/>
  <c r="L40" i="1"/>
  <c r="M78" i="4"/>
  <c r="L41" i="1"/>
  <c r="L43" i="1"/>
  <c r="L45" i="1"/>
  <c r="L51" i="1"/>
  <c r="L52" i="1"/>
  <c r="K29" i="1"/>
  <c r="J29" i="1"/>
  <c r="I29" i="1"/>
  <c r="L29" i="1"/>
  <c r="E13" i="6"/>
  <c r="F12" i="6"/>
  <c r="K5" i="6"/>
  <c r="F13" i="6"/>
  <c r="K8" i="6"/>
  <c r="K9" i="6"/>
  <c r="K11" i="6"/>
  <c r="J7" i="7"/>
  <c r="B13" i="7"/>
  <c r="B14" i="7"/>
  <c r="B15" i="7"/>
  <c r="B12" i="7"/>
  <c r="B11" i="7"/>
  <c r="C7" i="3"/>
  <c r="H90" i="1"/>
  <c r="H91" i="1"/>
  <c r="H87" i="1"/>
  <c r="H72" i="1"/>
  <c r="H88" i="1"/>
  <c r="H73" i="1"/>
  <c r="H75" i="1"/>
  <c r="H62" i="1"/>
  <c r="C10" i="3"/>
  <c r="C9" i="3"/>
  <c r="C4" i="7"/>
  <c r="C5" i="7"/>
  <c r="C6" i="7"/>
  <c r="D6" i="3"/>
  <c r="D7" i="3"/>
  <c r="D8" i="3"/>
  <c r="I62" i="1"/>
  <c r="D10" i="3"/>
  <c r="I87" i="1"/>
  <c r="I72" i="1"/>
  <c r="I88" i="1"/>
  <c r="I73" i="1"/>
  <c r="I75" i="1"/>
  <c r="I90" i="1"/>
  <c r="I78" i="1"/>
  <c r="I91" i="1"/>
  <c r="I79" i="1"/>
  <c r="I81" i="1"/>
  <c r="I93" i="1"/>
  <c r="D11" i="3"/>
  <c r="D9" i="3"/>
  <c r="D12" i="3"/>
  <c r="D4" i="7"/>
  <c r="D5" i="7"/>
  <c r="D6" i="7"/>
  <c r="E6" i="3"/>
  <c r="E7" i="3"/>
  <c r="E8" i="3"/>
  <c r="J62" i="1"/>
  <c r="E10" i="3"/>
  <c r="J87" i="1"/>
  <c r="J72" i="1"/>
  <c r="J88" i="1"/>
  <c r="J73" i="1"/>
  <c r="J75" i="1"/>
  <c r="J90" i="1"/>
  <c r="J78" i="1"/>
  <c r="J91" i="1"/>
  <c r="J79" i="1"/>
  <c r="J81" i="1"/>
  <c r="J93" i="1"/>
  <c r="E11" i="3"/>
  <c r="I58" i="1"/>
  <c r="J63" i="1"/>
  <c r="E9" i="3"/>
  <c r="E12" i="3"/>
  <c r="E4" i="7"/>
  <c r="E5" i="7"/>
  <c r="E6" i="7"/>
  <c r="F6" i="3"/>
  <c r="F7" i="3"/>
  <c r="F8" i="3"/>
  <c r="J58" i="1"/>
  <c r="K63" i="1"/>
  <c r="F9" i="3"/>
  <c r="K62" i="1"/>
  <c r="F10" i="3"/>
  <c r="K87" i="1"/>
  <c r="K72" i="1"/>
  <c r="K88" i="1"/>
  <c r="K73" i="1"/>
  <c r="K75" i="1"/>
  <c r="K90" i="1"/>
  <c r="K78" i="1"/>
  <c r="K91" i="1"/>
  <c r="K79" i="1"/>
  <c r="K81" i="1"/>
  <c r="K93" i="1"/>
  <c r="F11" i="3"/>
  <c r="F12" i="3"/>
  <c r="F4" i="7"/>
  <c r="F5" i="7"/>
  <c r="F6" i="7"/>
  <c r="G6" i="3"/>
  <c r="G7" i="3"/>
  <c r="G8" i="3"/>
  <c r="K58" i="1"/>
  <c r="L63" i="1"/>
  <c r="G9" i="3"/>
  <c r="L62" i="1"/>
  <c r="G10" i="3"/>
  <c r="L87" i="1"/>
  <c r="L72" i="1"/>
  <c r="L88" i="1"/>
  <c r="L73" i="1"/>
  <c r="L75" i="1"/>
  <c r="L90" i="1"/>
  <c r="L78" i="1"/>
  <c r="L91" i="1"/>
  <c r="L79" i="1"/>
  <c r="L81" i="1"/>
  <c r="L93" i="1"/>
  <c r="G11" i="3"/>
  <c r="G12" i="3"/>
  <c r="G4" i="7"/>
  <c r="G5" i="7"/>
  <c r="G6" i="7"/>
  <c r="J13" i="7"/>
  <c r="J11" i="7"/>
  <c r="J12" i="7"/>
  <c r="J14" i="7"/>
  <c r="J15" i="7"/>
  <c r="E10" i="7"/>
  <c r="D10" i="7"/>
  <c r="D11" i="7"/>
  <c r="E11" i="7"/>
  <c r="F10" i="7"/>
  <c r="F11" i="7"/>
  <c r="G10" i="7"/>
  <c r="G11" i="7"/>
  <c r="D12" i="7"/>
  <c r="E12" i="7"/>
  <c r="F12" i="7"/>
  <c r="G12" i="7"/>
  <c r="D13" i="7"/>
  <c r="E13" i="7"/>
  <c r="F13" i="7"/>
  <c r="G13" i="7"/>
  <c r="D14" i="7"/>
  <c r="E14" i="7"/>
  <c r="F14" i="7"/>
  <c r="G14" i="7"/>
  <c r="D15" i="7"/>
  <c r="E15" i="7"/>
  <c r="F15" i="7"/>
  <c r="G15" i="7"/>
  <c r="C10" i="7"/>
  <c r="C12" i="7"/>
  <c r="C13" i="7"/>
  <c r="C14" i="7"/>
  <c r="C15" i="7"/>
  <c r="C11" i="7"/>
  <c r="J17" i="7"/>
  <c r="J19" i="7"/>
  <c r="H4" i="6"/>
  <c r="H6" i="6"/>
  <c r="E6" i="6"/>
  <c r="E7" i="6"/>
  <c r="K4" i="6"/>
  <c r="H29" i="1"/>
  <c r="H66" i="1"/>
  <c r="I66" i="1"/>
  <c r="J66" i="1"/>
  <c r="K66" i="1"/>
  <c r="L66" i="1"/>
  <c r="H65" i="1"/>
  <c r="I65" i="1"/>
  <c r="J65" i="1"/>
  <c r="K65" i="1"/>
  <c r="L65" i="1"/>
  <c r="I63" i="1"/>
  <c r="H63" i="1"/>
  <c r="D65" i="1"/>
  <c r="E65" i="1"/>
  <c r="F65" i="1"/>
  <c r="G65" i="1"/>
  <c r="G62" i="1"/>
  <c r="H58" i="1"/>
  <c r="I59" i="1"/>
  <c r="J59" i="1"/>
  <c r="K59" i="1"/>
  <c r="L59" i="1"/>
  <c r="H59" i="1"/>
  <c r="M62" i="1"/>
  <c r="M60" i="1"/>
  <c r="M59" i="1"/>
  <c r="M58" i="1"/>
  <c r="L58" i="1"/>
  <c r="E62" i="1"/>
  <c r="D28" i="1"/>
  <c r="E29" i="1"/>
  <c r="E66" i="1"/>
  <c r="F62" i="1"/>
  <c r="F29" i="1"/>
  <c r="F66" i="1"/>
  <c r="G29" i="1"/>
  <c r="G66" i="1"/>
  <c r="D62" i="1"/>
  <c r="C28" i="1"/>
  <c r="D29" i="1"/>
  <c r="D66" i="1"/>
  <c r="H60" i="1"/>
  <c r="I60" i="1"/>
  <c r="J60" i="1"/>
  <c r="K60" i="1"/>
  <c r="L60" i="1"/>
  <c r="C34" i="1"/>
  <c r="C43" i="1"/>
  <c r="C45" i="1"/>
  <c r="C49" i="1"/>
  <c r="C51" i="1"/>
  <c r="E43" i="1"/>
  <c r="E49" i="1"/>
  <c r="F43" i="1"/>
  <c r="F49" i="1"/>
  <c r="G43" i="1"/>
  <c r="G49" i="1"/>
  <c r="J12" i="4"/>
  <c r="I8" i="1"/>
  <c r="K12" i="4"/>
  <c r="J8" i="1"/>
  <c r="L12" i="4"/>
  <c r="K8" i="1"/>
  <c r="M12" i="4"/>
  <c r="L8" i="1"/>
  <c r="I18" i="4"/>
  <c r="H11" i="1"/>
  <c r="E75" i="1"/>
  <c r="E81" i="1"/>
  <c r="E82" i="1"/>
  <c r="D75" i="1"/>
  <c r="D81" i="1"/>
  <c r="D82" i="1"/>
  <c r="E83" i="1"/>
  <c r="E84" i="1"/>
  <c r="F75" i="1"/>
  <c r="F81" i="1"/>
  <c r="F82" i="1"/>
  <c r="F83" i="1"/>
  <c r="F84" i="1"/>
  <c r="G75" i="1"/>
  <c r="G81" i="1"/>
  <c r="G82" i="1"/>
  <c r="G83" i="1"/>
  <c r="G84" i="1"/>
  <c r="C75" i="1"/>
  <c r="C81" i="1"/>
  <c r="C82" i="1"/>
  <c r="D83" i="1"/>
  <c r="D84" i="1"/>
  <c r="I48" i="4"/>
  <c r="H26" i="1"/>
  <c r="I42" i="4"/>
  <c r="H23" i="1"/>
  <c r="I36" i="4"/>
  <c r="H20" i="1"/>
  <c r="I30" i="4"/>
  <c r="H17" i="1"/>
  <c r="I24" i="4"/>
  <c r="H14" i="1"/>
  <c r="I12" i="4"/>
  <c r="H8" i="1"/>
  <c r="D32" i="1"/>
  <c r="E86" i="4"/>
  <c r="E32" i="1"/>
  <c r="F86" i="4"/>
  <c r="F32" i="1"/>
  <c r="G86" i="4"/>
  <c r="G32" i="1"/>
  <c r="H86" i="4"/>
  <c r="C32" i="1"/>
  <c r="D86" i="4"/>
  <c r="C84" i="4"/>
  <c r="E11" i="1"/>
  <c r="F20" i="4"/>
  <c r="F11" i="1"/>
  <c r="G20" i="4"/>
  <c r="G11" i="1"/>
  <c r="H20" i="4"/>
  <c r="E14" i="1"/>
  <c r="F26" i="4"/>
  <c r="F14" i="1"/>
  <c r="G26" i="4"/>
  <c r="G14" i="1"/>
  <c r="H26" i="4"/>
  <c r="E17" i="1"/>
  <c r="F32" i="4"/>
  <c r="F17" i="1"/>
  <c r="G32" i="4"/>
  <c r="G17" i="1"/>
  <c r="H32" i="4"/>
  <c r="E20" i="1"/>
  <c r="F38" i="4"/>
  <c r="F20" i="1"/>
  <c r="G38" i="4"/>
  <c r="G20" i="1"/>
  <c r="H38" i="4"/>
  <c r="E23" i="1"/>
  <c r="F44" i="4"/>
  <c r="F23" i="1"/>
  <c r="G44" i="4"/>
  <c r="G23" i="1"/>
  <c r="H44" i="4"/>
  <c r="E26" i="1"/>
  <c r="F50" i="4"/>
  <c r="F26" i="1"/>
  <c r="G50" i="4"/>
  <c r="G26" i="1"/>
  <c r="H50" i="4"/>
  <c r="E50" i="4"/>
  <c r="D23" i="1"/>
  <c r="E44" i="4"/>
  <c r="D20" i="1"/>
  <c r="E38" i="4"/>
  <c r="D17" i="1"/>
  <c r="E32" i="4"/>
  <c r="D14" i="1"/>
  <c r="E26" i="4"/>
  <c r="D11" i="1"/>
  <c r="E20" i="4"/>
  <c r="E8" i="1"/>
  <c r="F14" i="4"/>
  <c r="F8" i="1"/>
  <c r="G14" i="4"/>
  <c r="G8" i="1"/>
  <c r="H14" i="4"/>
  <c r="D8" i="1"/>
  <c r="E14" i="4"/>
  <c r="J4" i="7"/>
  <c r="D87" i="1"/>
  <c r="E87" i="1"/>
  <c r="F87" i="1"/>
  <c r="G87" i="1"/>
  <c r="D88" i="1"/>
  <c r="E88" i="1"/>
  <c r="F88" i="1"/>
  <c r="G88" i="1"/>
  <c r="D43" i="1"/>
  <c r="D90" i="1"/>
  <c r="E90" i="1"/>
  <c r="F90" i="1"/>
  <c r="G90" i="1"/>
  <c r="D91" i="1"/>
  <c r="E91" i="1"/>
  <c r="F91" i="1"/>
  <c r="G91" i="1"/>
  <c r="C91" i="1"/>
  <c r="C90" i="1"/>
  <c r="C88" i="1"/>
  <c r="C87" i="1"/>
  <c r="C62" i="1"/>
  <c r="F60" i="1"/>
  <c r="G60" i="1"/>
  <c r="C60" i="1"/>
  <c r="D60" i="1"/>
  <c r="E60" i="1"/>
  <c r="D34" i="1"/>
  <c r="D45" i="1"/>
  <c r="E104" i="4"/>
  <c r="F104" i="4"/>
  <c r="G104" i="4"/>
  <c r="H104" i="4"/>
  <c r="D49" i="1"/>
  <c r="D51" i="1"/>
  <c r="E92" i="4"/>
  <c r="D104" i="4"/>
  <c r="E110" i="4"/>
  <c r="F110" i="4"/>
  <c r="G110" i="4"/>
  <c r="H110" i="4"/>
  <c r="D110" i="4"/>
  <c r="D116" i="4"/>
  <c r="E116" i="4"/>
  <c r="F116" i="4"/>
  <c r="G116" i="4"/>
  <c r="H116" i="4"/>
  <c r="E98" i="4"/>
  <c r="F98" i="4"/>
  <c r="G98" i="4"/>
  <c r="H98" i="4"/>
  <c r="D98" i="4"/>
  <c r="E80" i="4"/>
  <c r="F80" i="4"/>
  <c r="G80" i="4"/>
  <c r="H80" i="4"/>
  <c r="D80" i="4"/>
  <c r="E74" i="4"/>
  <c r="F74" i="4"/>
  <c r="G74" i="4"/>
  <c r="H74" i="4"/>
  <c r="D74" i="4"/>
  <c r="E68" i="4"/>
  <c r="F68" i="4"/>
  <c r="G68" i="4"/>
  <c r="H68" i="4"/>
  <c r="D68" i="4"/>
  <c r="E62" i="4"/>
  <c r="F62" i="4"/>
  <c r="G62" i="4"/>
  <c r="H62" i="4"/>
  <c r="D62" i="4"/>
  <c r="E56" i="4"/>
  <c r="F56" i="4"/>
  <c r="G56" i="4"/>
  <c r="H56" i="4"/>
  <c r="D56" i="4"/>
  <c r="E128" i="4"/>
  <c r="F128" i="4"/>
  <c r="G128" i="4"/>
  <c r="H128" i="4"/>
  <c r="D128" i="4"/>
  <c r="E122" i="4"/>
  <c r="F122" i="4"/>
  <c r="G122" i="4"/>
  <c r="H122" i="4"/>
  <c r="D122" i="4"/>
  <c r="D93" i="1"/>
  <c r="E93" i="1"/>
  <c r="F93" i="1"/>
  <c r="G93" i="1"/>
  <c r="D54" i="1"/>
  <c r="E54" i="1"/>
  <c r="F54" i="1"/>
  <c r="G54" i="1"/>
  <c r="I54" i="1"/>
  <c r="J54" i="1"/>
  <c r="K54" i="1"/>
  <c r="L54" i="1"/>
  <c r="C54" i="1"/>
  <c r="M90" i="4"/>
  <c r="L90" i="4"/>
  <c r="K90" i="4"/>
  <c r="J90" i="4"/>
  <c r="I90" i="4"/>
  <c r="C90" i="4"/>
  <c r="C78" i="4"/>
  <c r="C72" i="4"/>
  <c r="C66" i="4"/>
  <c r="C60" i="4"/>
  <c r="C54" i="4"/>
  <c r="C48" i="4"/>
  <c r="C42" i="4"/>
  <c r="C36" i="4"/>
  <c r="C30" i="4"/>
  <c r="C24" i="4"/>
  <c r="C18" i="4"/>
  <c r="C12" i="4"/>
  <c r="D3" i="7"/>
  <c r="E3" i="7"/>
  <c r="F3" i="7"/>
  <c r="G3" i="7"/>
  <c r="E8" i="4"/>
  <c r="F8" i="4"/>
  <c r="G8" i="4"/>
  <c r="H8" i="4"/>
  <c r="I8" i="4"/>
  <c r="J8" i="4"/>
  <c r="K8" i="4"/>
  <c r="L8" i="4"/>
  <c r="M8" i="4"/>
  <c r="D4" i="3"/>
  <c r="E4" i="3"/>
  <c r="F4" i="3"/>
  <c r="G4" i="3"/>
  <c r="D3" i="1"/>
  <c r="E3" i="1"/>
  <c r="F3" i="1"/>
  <c r="G3" i="1"/>
  <c r="H3" i="1"/>
  <c r="I3" i="1"/>
  <c r="J3" i="1"/>
  <c r="K3" i="1"/>
  <c r="L3" i="1"/>
  <c r="H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tc={C667222A-FDDD-48FE-A1AC-6BA45A968980}</author>
    <author>tc={80E7C222-9A04-441F-BA75-79F83570182B}</author>
  </authors>
  <commentList>
    <comment ref="B62" authorId="0" shapeId="0" xr:uid="{C667222A-FDDD-48FE-A1AC-6BA45A96898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net figure from purchases of PP&amp;E - Proceeds from PP&amp;E sales</t>
      </text>
    </comment>
    <comment ref="B66" authorId="1" shapeId="0" xr:uid="{80E7C222-9A04-441F-BA75-79F83570182B}">
      <text>
        <t>[Threaded comment]
Your version of Excel allows you to read this threaded comment; however, any edits to it will get removed if the file is opened in a newer version of Excel. Learn more: https://go.microsoft.com/fwlink/?linkid=870924
Comment:
    A ratio of .30 means 30 cents of net fixed capital investment for every $1 increase in sales</t>
      </text>
    </comment>
  </commentList>
</comments>
</file>

<file path=xl/sharedStrings.xml><?xml version="1.0" encoding="utf-8"?>
<sst xmlns="http://schemas.openxmlformats.org/spreadsheetml/2006/main" count="320" uniqueCount="182">
  <si>
    <t>Select case</t>
  </si>
  <si>
    <t>Downside</t>
  </si>
  <si>
    <t>Base</t>
  </si>
  <si>
    <t>Upside</t>
  </si>
  <si>
    <t>Multiplier</t>
  </si>
  <si>
    <t>Assumptions</t>
  </si>
  <si>
    <t>Revenue:</t>
  </si>
  <si>
    <t>Online store growth</t>
  </si>
  <si>
    <t>Macro slowdown + tariff drag on consumer discretionary. Retail growth was already single digits and Amazon themselves guided only 7-11% total revenue growth.</t>
  </si>
  <si>
    <t>Same-day delivery expansion beyond 2,300 communities, AI-driven personalization lift, and market share gains from weaker competitors</t>
  </si>
  <si>
    <t>Physical stores growth</t>
  </si>
  <si>
    <t>Whole Foods has seen limited expansion and Amazon Fresh closures signal strategic deprioritization.</t>
  </si>
  <si>
    <t>Amazon One/Just Walk Out tech rollout + grocery automation. Note that physical retail isn't a strategic priority.</t>
  </si>
  <si>
    <t>Third-party seller services growth</t>
  </si>
  <si>
    <t xml:space="preserve">FTC Antitrust Trial could reduce margins </t>
  </si>
  <si>
    <t>Buy with Prime expansion off-Amazon, Multi-channel fulfillment opening to larger sellers (Walmart, Shopify)</t>
  </si>
  <si>
    <t>Advertising services growth</t>
  </si>
  <si>
    <t>Consumer spending pullback or recession fears reduce ad growth.</t>
  </si>
  <si>
    <t>Prime Video ad tiers grow, enhanced ad management across Prime Video, Twitch, Fire TV and third party sites/apps</t>
  </si>
  <si>
    <t>Subscription services growth</t>
  </si>
  <si>
    <t>Prime subscriber growth slows down in developed markets</t>
  </si>
  <si>
    <t>Prime keeps its competitive moat and expands into other segments like pharmacy, making attractive bundles</t>
  </si>
  <si>
    <t>AWS growth</t>
  </si>
  <si>
    <t>Azure/GCP share increases, AI capex cycle peaks.</t>
  </si>
  <si>
    <t>AI workload accelerates, Trainium adoption beyond Anthropic</t>
  </si>
  <si>
    <t>Other growth</t>
  </si>
  <si>
    <t>Uncertainty around Kuiper, etc</t>
  </si>
  <si>
    <t>Kuiper satellite launches begin commercial service, other ambitious projects start contributing</t>
  </si>
  <si>
    <t>Fulfillment expense - % of total revenue</t>
  </si>
  <si>
    <t>Tech and infrastructure expense - % of total revenue</t>
  </si>
  <si>
    <t>Sales and marketing - % of total revenue</t>
  </si>
  <si>
    <t>General and administrative - % of total revenue</t>
  </si>
  <si>
    <t>Other expenses - % of total revenue</t>
  </si>
  <si>
    <t>Cost of sales - % of total revenue</t>
  </si>
  <si>
    <t>Tax rate</t>
  </si>
  <si>
    <t>Capital expenditures - % of total revenue</t>
  </si>
  <si>
    <t>Accumulated depreciation - % of gross property and equipment</t>
  </si>
  <si>
    <t>Accounts receivable - % of total revenue</t>
  </si>
  <si>
    <t>Inventories - % of total revenue</t>
  </si>
  <si>
    <t xml:space="preserve"> </t>
  </si>
  <si>
    <t>Accounts payable - % of operating expenses</t>
  </si>
  <si>
    <t>Accrued expenses - % of operating expenses</t>
  </si>
  <si>
    <t>Average Tax Rate</t>
  </si>
  <si>
    <t>Free Cash Flow Components</t>
  </si>
  <si>
    <t>Actual</t>
  </si>
  <si>
    <t>Expected</t>
  </si>
  <si>
    <t>USD ($) in millions</t>
  </si>
  <si>
    <t>Income Statement:</t>
  </si>
  <si>
    <t>Revenues</t>
  </si>
  <si>
    <t>Online stores</t>
  </si>
  <si>
    <t>Online stores growth</t>
  </si>
  <si>
    <t>Physical stores</t>
  </si>
  <si>
    <t>Third-party seller services</t>
  </si>
  <si>
    <t>Advertising services</t>
  </si>
  <si>
    <t>Subscription services</t>
  </si>
  <si>
    <t>AWS</t>
  </si>
  <si>
    <t>Other</t>
  </si>
  <si>
    <t>Net sales</t>
  </si>
  <si>
    <t>change ($)</t>
  </si>
  <si>
    <t>Cost of sales</t>
  </si>
  <si>
    <t>% of revenue</t>
  </si>
  <si>
    <t>Gross profit</t>
  </si>
  <si>
    <t>Operating expenses</t>
  </si>
  <si>
    <t>Fulfillment</t>
  </si>
  <si>
    <t>Technology and infrastructure</t>
  </si>
  <si>
    <t>Sales and marketing</t>
  </si>
  <si>
    <t>General and administrative</t>
  </si>
  <si>
    <t>Other expenses</t>
  </si>
  <si>
    <t>Total operating expenses</t>
  </si>
  <si>
    <t>EBIT</t>
  </si>
  <si>
    <t>Interest income</t>
  </si>
  <si>
    <t>Interest expense</t>
  </si>
  <si>
    <t>Other income</t>
  </si>
  <si>
    <t>EBT</t>
  </si>
  <si>
    <t>Taxes</t>
  </si>
  <si>
    <t>Net income</t>
  </si>
  <si>
    <t>Capital Expenditures and Depreciation:</t>
  </si>
  <si>
    <t>Gross property and equipment</t>
  </si>
  <si>
    <t>Total accumulated depreciation and amortization</t>
  </si>
  <si>
    <t>Total property and equipment, net</t>
  </si>
  <si>
    <t>Capital expenditures</t>
  </si>
  <si>
    <t>Depreciation</t>
  </si>
  <si>
    <t>Depreciation / Prior Yr PP&amp;E</t>
  </si>
  <si>
    <t>(FCInv-NCC)/D(Sales)</t>
  </si>
  <si>
    <t>Changes in Net Working Capital:</t>
  </si>
  <si>
    <t>Current assets</t>
  </si>
  <si>
    <t>Accounts receivable</t>
  </si>
  <si>
    <t>Inventory</t>
  </si>
  <si>
    <t>Total current assets</t>
  </si>
  <si>
    <t>Current liabilities</t>
  </si>
  <si>
    <t>Accounts payable</t>
  </si>
  <si>
    <t>Accrued expenses</t>
  </si>
  <si>
    <t>NWC</t>
  </si>
  <si>
    <t>NWCInv</t>
  </si>
  <si>
    <t>WCInv/D(Sales)</t>
  </si>
  <si>
    <t>Projection:</t>
  </si>
  <si>
    <t>Accounts receivable - % of revenue</t>
  </si>
  <si>
    <t>Inventory - % of revenue</t>
  </si>
  <si>
    <t>Change in NWC</t>
  </si>
  <si>
    <t>Free Cash Flow Calculation</t>
  </si>
  <si>
    <t>(1-Tax Rate)</t>
  </si>
  <si>
    <t>EBIT(1-Tax Rate)</t>
  </si>
  <si>
    <t>Capital Expenditures</t>
  </si>
  <si>
    <t>Free Cash Flow</t>
  </si>
  <si>
    <t>WACC Calculation</t>
  </si>
  <si>
    <t>Cost of Equity (CAPM)</t>
  </si>
  <si>
    <t>Cost of debt</t>
  </si>
  <si>
    <t>WACC</t>
  </si>
  <si>
    <t>Risk-free rate</t>
  </si>
  <si>
    <t>Cost of equity</t>
  </si>
  <si>
    <t>Equity beta</t>
  </si>
  <si>
    <t>Debt</t>
  </si>
  <si>
    <t>Weight of equity</t>
  </si>
  <si>
    <t>Expected market return</t>
  </si>
  <si>
    <t>Weight of debt</t>
  </si>
  <si>
    <t>Weight of Debt and Equity</t>
  </si>
  <si>
    <t>Total</t>
  </si>
  <si>
    <t>Weight</t>
  </si>
  <si>
    <t>Total Equity</t>
  </si>
  <si>
    <t>Total Long Term Debt(Debt)</t>
  </si>
  <si>
    <t>DCF</t>
  </si>
  <si>
    <t>Terminal Assumptions</t>
  </si>
  <si>
    <t>FCF</t>
  </si>
  <si>
    <t>Valuation Date</t>
  </si>
  <si>
    <t>Discount Factor</t>
  </si>
  <si>
    <t>Fiscal Year End</t>
  </si>
  <si>
    <t>Present Value</t>
  </si>
  <si>
    <t>Terminal Growth Rate</t>
  </si>
  <si>
    <t>Growth Rate YoY</t>
  </si>
  <si>
    <t>Current Valuation</t>
  </si>
  <si>
    <t>Terminal Value</t>
  </si>
  <si>
    <t>PV of Terminal Value</t>
  </si>
  <si>
    <t>PV of Present Value</t>
  </si>
  <si>
    <t>PV of EV</t>
  </si>
  <si>
    <t>- Debt</t>
  </si>
  <si>
    <t>+ Cash</t>
  </si>
  <si>
    <t>PV of Equity</t>
  </si>
  <si>
    <t>Shares</t>
  </si>
  <si>
    <t>Price per share</t>
  </si>
  <si>
    <t>Case Probabilities</t>
  </si>
  <si>
    <t>Weighted Avg.</t>
  </si>
  <si>
    <t>($ in billions)</t>
  </si>
  <si>
    <t>Company</t>
  </si>
  <si>
    <t>Price</t>
  </si>
  <si>
    <t>Shares Outstanding</t>
  </si>
  <si>
    <t>Total Debt</t>
  </si>
  <si>
    <t>Total Cash</t>
  </si>
  <si>
    <t>Enterprise Value</t>
  </si>
  <si>
    <t>EV-based multiples</t>
  </si>
  <si>
    <t>Apple(AAPL)</t>
  </si>
  <si>
    <t>Multiple</t>
  </si>
  <si>
    <t>Amazon Metric</t>
  </si>
  <si>
    <t>Avg. comp multiple</t>
  </si>
  <si>
    <t>Implied EV ($B)</t>
  </si>
  <si>
    <t>Equity Value ($B)</t>
  </si>
  <si>
    <t>Implied Price/Share</t>
  </si>
  <si>
    <t>Alphabet(GOOGL)</t>
  </si>
  <si>
    <t>EV/Sales</t>
  </si>
  <si>
    <t>Meta(META)</t>
  </si>
  <si>
    <t>EV/EBITDA</t>
  </si>
  <si>
    <t>Microsoft(MSFT)</t>
  </si>
  <si>
    <t>EV/FCF*</t>
  </si>
  <si>
    <t>Walmart(WMT)</t>
  </si>
  <si>
    <t>Alibaba(BABA)</t>
  </si>
  <si>
    <t>(CNY)</t>
  </si>
  <si>
    <t>Price-based multiple</t>
  </si>
  <si>
    <t>P/E</t>
  </si>
  <si>
    <t>Sales</t>
  </si>
  <si>
    <t>EV/ Sales</t>
  </si>
  <si>
    <t>Average EV of all comps</t>
  </si>
  <si>
    <t>Cash</t>
  </si>
  <si>
    <t>Equity Value</t>
  </si>
  <si>
    <t>Price per Share (EV Multiples)</t>
  </si>
  <si>
    <t>Weighted Average</t>
  </si>
  <si>
    <t>Average EV/Sales</t>
  </si>
  <si>
    <t>EBITDA</t>
  </si>
  <si>
    <t>EV/ EBITDA</t>
  </si>
  <si>
    <t>Average EV/EBITDA</t>
  </si>
  <si>
    <t>EV/ FCF</t>
  </si>
  <si>
    <t>Average EV/CF</t>
  </si>
  <si>
    <t>EPS</t>
  </si>
  <si>
    <t>Average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</si>
</sst>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#\A"/>
    <numFmt numFmtId="165" formatCode="####\E"/>
    <numFmt numFmtId="166" formatCode="0.00\x"/>
    <numFmt numFmtId="167" formatCode="_(* #,##0_);_(* \(#,##0\);_(* &quot;-&quot;??_);_(@_)"/>
    <numFmt numFmtId="168" formatCode="&quot;$&quot;#,##0.00"/>
    <numFmt numFmtId="169" formatCode="_(* #,##0.0_);_(* \(#,##0.0\);_(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3" tint="0.249977111117893"/>
      <name val="Calibri"/>
      <family val="2"/>
    </font>
    <font>
      <i/>
      <sz val="12"/>
      <color theme="3" tint="0.249977111117893"/>
      <name val="Calibri"/>
      <family val="2"/>
    </font>
    <font>
      <i/>
      <sz val="12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i/>
      <sz val="12"/>
      <color theme="1"/>
      <name val="Aptos Narrow"/>
      <family val="2"/>
      <scheme val="minor"/>
    </font>
    <font>
      <b/>
      <sz val="12"/>
      <name val="Calibri"/>
      <family val="2"/>
    </font>
    <font>
      <sz val="12"/>
      <color rgb="FFC00000"/>
      <name val="Calibri"/>
      <family val="2"/>
    </font>
    <font>
      <b/>
      <sz val="12"/>
      <color rgb="FFC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1" fillId="0" borderId="2" xfId="0" applyFont="1" applyBorder="1"/>
    <xf numFmtId="0" fontId="1" fillId="3" borderId="0" xfId="0" applyFont="1" applyFill="1"/>
    <xf numFmtId="0" fontId="3" fillId="0" borderId="0" xfId="0" applyFont="1"/>
    <xf numFmtId="0" fontId="1" fillId="0" borderId="0" xfId="0" applyFont="1" applyAlignment="1">
      <alignment horizontal="left" indent="1"/>
    </xf>
    <xf numFmtId="0" fontId="5" fillId="0" borderId="0" xfId="0" applyFont="1"/>
    <xf numFmtId="0" fontId="2" fillId="0" borderId="1" xfId="0" applyFont="1" applyBorder="1"/>
    <xf numFmtId="0" fontId="1" fillId="0" borderId="0" xfId="0" applyFont="1" applyAlignment="1">
      <alignment horizontal="left"/>
    </xf>
    <xf numFmtId="0" fontId="5" fillId="0" borderId="1" xfId="0" applyFont="1" applyBorder="1"/>
    <xf numFmtId="9" fontId="1" fillId="3" borderId="0" xfId="0" applyNumberFormat="1" applyFont="1" applyFill="1"/>
    <xf numFmtId="0" fontId="2" fillId="0" borderId="0" xfId="0" applyFont="1" applyAlignment="1">
      <alignment horizontal="left"/>
    </xf>
    <xf numFmtId="0" fontId="1" fillId="0" borderId="5" xfId="0" applyFont="1" applyBorder="1"/>
    <xf numFmtId="0" fontId="1" fillId="3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6" xfId="0" applyFont="1" applyBorder="1"/>
    <xf numFmtId="0" fontId="1" fillId="0" borderId="6" xfId="0" applyFont="1" applyBorder="1"/>
    <xf numFmtId="0" fontId="1" fillId="0" borderId="5" xfId="0" quotePrefix="1" applyFont="1" applyBorder="1"/>
    <xf numFmtId="14" fontId="1" fillId="0" borderId="6" xfId="0" applyNumberFormat="1" applyFont="1" applyBorder="1"/>
    <xf numFmtId="10" fontId="1" fillId="0" borderId="6" xfId="0" applyNumberFormat="1" applyFont="1" applyBorder="1"/>
    <xf numFmtId="0" fontId="1" fillId="0" borderId="12" xfId="0" applyFont="1" applyBorder="1"/>
    <xf numFmtId="9" fontId="1" fillId="3" borderId="13" xfId="0" applyNumberFormat="1" applyFont="1" applyFill="1" applyBorder="1"/>
    <xf numFmtId="166" fontId="1" fillId="5" borderId="0" xfId="0" applyNumberFormat="1" applyFont="1" applyFill="1"/>
    <xf numFmtId="0" fontId="5" fillId="0" borderId="14" xfId="0" applyFont="1" applyBorder="1"/>
    <xf numFmtId="0" fontId="5" fillId="0" borderId="15" xfId="0" applyFont="1" applyBorder="1"/>
    <xf numFmtId="0" fontId="1" fillId="2" borderId="4" xfId="0" applyFont="1" applyFill="1" applyBorder="1"/>
    <xf numFmtId="0" fontId="2" fillId="3" borderId="3" xfId="0" applyFont="1" applyFill="1" applyBorder="1"/>
    <xf numFmtId="9" fontId="1" fillId="0" borderId="0" xfId="1" applyFont="1"/>
    <xf numFmtId="0" fontId="6" fillId="0" borderId="0" xfId="0" applyFont="1" applyAlignment="1">
      <alignment horizontal="left"/>
    </xf>
    <xf numFmtId="10" fontId="1" fillId="0" borderId="0" xfId="0" applyNumberFormat="1" applyFont="1"/>
    <xf numFmtId="10" fontId="1" fillId="3" borderId="6" xfId="0" applyNumberFormat="1" applyFont="1" applyFill="1" applyBorder="1"/>
    <xf numFmtId="10" fontId="1" fillId="0" borderId="8" xfId="0" applyNumberFormat="1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10" fontId="1" fillId="0" borderId="1" xfId="0" applyNumberFormat="1" applyFont="1" applyBorder="1"/>
    <xf numFmtId="10" fontId="1" fillId="3" borderId="0" xfId="0" applyNumberFormat="1" applyFont="1" applyFill="1"/>
    <xf numFmtId="10" fontId="2" fillId="0" borderId="0" xfId="0" applyNumberFormat="1" applyFont="1"/>
    <xf numFmtId="10" fontId="5" fillId="0" borderId="0" xfId="0" applyNumberFormat="1" applyFont="1"/>
    <xf numFmtId="10" fontId="6" fillId="0" borderId="0" xfId="0" applyNumberFormat="1" applyFont="1"/>
    <xf numFmtId="10" fontId="5" fillId="0" borderId="1" xfId="0" applyNumberFormat="1" applyFont="1" applyBorder="1"/>
    <xf numFmtId="10" fontId="5" fillId="4" borderId="0" xfId="0" applyNumberFormat="1" applyFont="1" applyFill="1"/>
    <xf numFmtId="10" fontId="1" fillId="0" borderId="0" xfId="1" applyNumberFormat="1" applyFont="1"/>
    <xf numFmtId="10" fontId="5" fillId="6" borderId="0" xfId="0" applyNumberFormat="1" applyFont="1" applyFill="1"/>
    <xf numFmtId="10" fontId="5" fillId="2" borderId="8" xfId="0" applyNumberFormat="1" applyFont="1" applyFill="1" applyBorder="1"/>
    <xf numFmtId="10" fontId="5" fillId="4" borderId="6" xfId="0" applyNumberFormat="1" applyFont="1" applyFill="1" applyBorder="1"/>
    <xf numFmtId="10" fontId="5" fillId="0" borderId="6" xfId="0" applyNumberFormat="1" applyFont="1" applyBorder="1"/>
    <xf numFmtId="10" fontId="1" fillId="0" borderId="22" xfId="0" applyNumberFormat="1" applyFont="1" applyBorder="1"/>
    <xf numFmtId="10" fontId="1" fillId="0" borderId="23" xfId="0" applyNumberFormat="1" applyFont="1" applyBorder="1"/>
    <xf numFmtId="44" fontId="1" fillId="2" borderId="8" xfId="0" applyNumberFormat="1" applyFont="1" applyFill="1" applyBorder="1"/>
    <xf numFmtId="3" fontId="1" fillId="3" borderId="0" xfId="0" applyNumberFormat="1" applyFont="1" applyFill="1"/>
    <xf numFmtId="3" fontId="1" fillId="7" borderId="0" xfId="0" applyNumberFormat="1" applyFont="1" applyFill="1"/>
    <xf numFmtId="3" fontId="1" fillId="0" borderId="2" xfId="0" applyNumberFormat="1" applyFont="1" applyBorder="1"/>
    <xf numFmtId="3" fontId="1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 indent="1"/>
    </xf>
    <xf numFmtId="3" fontId="8" fillId="0" borderId="0" xfId="0" applyNumberFormat="1" applyFont="1"/>
    <xf numFmtId="9" fontId="8" fillId="0" borderId="0" xfId="1" applyFont="1" applyFill="1"/>
    <xf numFmtId="0" fontId="8" fillId="0" borderId="0" xfId="0" applyFont="1"/>
    <xf numFmtId="9" fontId="9" fillId="0" borderId="0" xfId="1" applyFont="1" applyFill="1"/>
    <xf numFmtId="10" fontId="3" fillId="0" borderId="0" xfId="0" applyNumberFormat="1" applyFont="1"/>
    <xf numFmtId="3" fontId="10" fillId="7" borderId="0" xfId="0" applyNumberFormat="1" applyFont="1" applyFill="1"/>
    <xf numFmtId="3" fontId="10" fillId="3" borderId="0" xfId="0" applyNumberFormat="1" applyFont="1" applyFill="1"/>
    <xf numFmtId="2" fontId="8" fillId="0" borderId="0" xfId="0" applyNumberFormat="1" applyFont="1"/>
    <xf numFmtId="10" fontId="8" fillId="0" borderId="0" xfId="1" applyNumberFormat="1" applyFont="1" applyFill="1"/>
    <xf numFmtId="9" fontId="1" fillId="0" borderId="0" xfId="1" applyFont="1" applyBorder="1"/>
    <xf numFmtId="9" fontId="1" fillId="0" borderId="6" xfId="1" applyFont="1" applyBorder="1"/>
    <xf numFmtId="0" fontId="11" fillId="0" borderId="0" xfId="0" applyFont="1"/>
    <xf numFmtId="2" fontId="8" fillId="0" borderId="0" xfId="1" applyNumberFormat="1" applyFont="1" applyFill="1"/>
    <xf numFmtId="2" fontId="1" fillId="0" borderId="0" xfId="0" applyNumberFormat="1" applyFont="1"/>
    <xf numFmtId="2" fontId="11" fillId="0" borderId="0" xfId="0" applyNumberFormat="1" applyFont="1"/>
    <xf numFmtId="2" fontId="1" fillId="0" borderId="1" xfId="0" applyNumberFormat="1" applyFont="1" applyBorder="1"/>
    <xf numFmtId="9" fontId="8" fillId="0" borderId="0" xfId="1" applyFont="1"/>
    <xf numFmtId="167" fontId="1" fillId="5" borderId="0" xfId="2" applyNumberFormat="1" applyFont="1" applyFill="1"/>
    <xf numFmtId="167" fontId="1" fillId="0" borderId="2" xfId="2" applyNumberFormat="1" applyFont="1" applyBorder="1"/>
    <xf numFmtId="167" fontId="1" fillId="0" borderId="0" xfId="2" applyNumberFormat="1" applyFont="1" applyBorder="1"/>
    <xf numFmtId="167" fontId="1" fillId="0" borderId="1" xfId="2" applyNumberFormat="1" applyFont="1" applyBorder="1"/>
    <xf numFmtId="167" fontId="1" fillId="0" borderId="0" xfId="2" applyNumberFormat="1" applyFont="1"/>
    <xf numFmtId="167" fontId="5" fillId="6" borderId="0" xfId="2" applyNumberFormat="1" applyFont="1" applyFill="1"/>
    <xf numFmtId="167" fontId="8" fillId="0" borderId="0" xfId="2" applyNumberFormat="1" applyFont="1" applyFill="1"/>
    <xf numFmtId="167" fontId="1" fillId="5" borderId="2" xfId="2" applyNumberFormat="1" applyFont="1" applyFill="1" applyBorder="1"/>
    <xf numFmtId="167" fontId="11" fillId="0" borderId="0" xfId="2" applyNumberFormat="1" applyFont="1" applyFill="1"/>
    <xf numFmtId="168" fontId="1" fillId="0" borderId="28" xfId="0" applyNumberFormat="1" applyFont="1" applyBorder="1" applyAlignment="1">
      <alignment wrapText="1"/>
    </xf>
    <xf numFmtId="10" fontId="2" fillId="0" borderId="40" xfId="0" applyNumberFormat="1" applyFont="1" applyBorder="1"/>
    <xf numFmtId="9" fontId="2" fillId="0" borderId="40" xfId="0" applyNumberFormat="1" applyFont="1" applyBorder="1"/>
    <xf numFmtId="10" fontId="2" fillId="0" borderId="42" xfId="0" applyNumberFormat="1" applyFont="1" applyBorder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49" xfId="0" applyFont="1" applyBorder="1"/>
    <xf numFmtId="0" fontId="1" fillId="0" borderId="50" xfId="0" applyFont="1" applyBorder="1"/>
    <xf numFmtId="0" fontId="1" fillId="3" borderId="9" xfId="0" applyFont="1" applyFill="1" applyBorder="1"/>
    <xf numFmtId="10" fontId="1" fillId="5" borderId="1" xfId="0" applyNumberFormat="1" applyFont="1" applyFill="1" applyBorder="1"/>
    <xf numFmtId="10" fontId="1" fillId="5" borderId="0" xfId="0" applyNumberFormat="1" applyFont="1" applyFill="1"/>
    <xf numFmtId="0" fontId="2" fillId="3" borderId="10" xfId="0" applyFont="1" applyFill="1" applyBorder="1"/>
    <xf numFmtId="9" fontId="5" fillId="0" borderId="6" xfId="0" applyNumberFormat="1" applyFont="1" applyBorder="1"/>
    <xf numFmtId="9" fontId="1" fillId="0" borderId="6" xfId="0" applyNumberFormat="1" applyFont="1" applyBorder="1"/>
    <xf numFmtId="9" fontId="1" fillId="0" borderId="8" xfId="0" applyNumberFormat="1" applyFont="1" applyBorder="1"/>
    <xf numFmtId="0" fontId="1" fillId="0" borderId="29" xfId="0" applyFont="1" applyBorder="1"/>
    <xf numFmtId="2" fontId="1" fillId="0" borderId="30" xfId="0" applyNumberFormat="1" applyFont="1" applyBorder="1"/>
    <xf numFmtId="0" fontId="1" fillId="0" borderId="31" xfId="0" applyFont="1" applyBorder="1"/>
    <xf numFmtId="2" fontId="1" fillId="0" borderId="32" xfId="0" applyNumberFormat="1" applyFont="1" applyBorder="1"/>
    <xf numFmtId="2" fontId="1" fillId="0" borderId="50" xfId="0" applyNumberFormat="1" applyFont="1" applyBorder="1"/>
    <xf numFmtId="169" fontId="1" fillId="0" borderId="0" xfId="2" applyNumberFormat="1" applyFont="1"/>
    <xf numFmtId="169" fontId="1" fillId="0" borderId="0" xfId="0" applyNumberFormat="1" applyFont="1"/>
    <xf numFmtId="169" fontId="1" fillId="0" borderId="1" xfId="0" applyNumberFormat="1" applyFont="1" applyBorder="1"/>
    <xf numFmtId="169" fontId="1" fillId="0" borderId="2" xfId="0" applyNumberFormat="1" applyFont="1" applyBorder="1"/>
    <xf numFmtId="0" fontId="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9" fontId="7" fillId="0" borderId="0" xfId="1" applyFont="1" applyFill="1"/>
    <xf numFmtId="167" fontId="7" fillId="0" borderId="0" xfId="2" applyNumberFormat="1" applyFont="1" applyFill="1"/>
    <xf numFmtId="0" fontId="2" fillId="0" borderId="39" xfId="0" applyFont="1" applyBorder="1" applyAlignment="1">
      <alignment horizontal="right"/>
    </xf>
    <xf numFmtId="166" fontId="1" fillId="0" borderId="0" xfId="0" applyNumberFormat="1" applyFont="1"/>
    <xf numFmtId="166" fontId="1" fillId="0" borderId="0" xfId="0" quotePrefix="1" applyNumberFormat="1" applyFont="1"/>
    <xf numFmtId="0" fontId="1" fillId="0" borderId="29" xfId="0" applyFont="1" applyBorder="1" applyAlignment="1">
      <alignment readingOrder="1"/>
    </xf>
    <xf numFmtId="168" fontId="1" fillId="0" borderId="30" xfId="0" applyNumberFormat="1" applyFont="1" applyBorder="1" applyAlignment="1">
      <alignment readingOrder="1"/>
    </xf>
    <xf numFmtId="0" fontId="1" fillId="0" borderId="31" xfId="0" applyFont="1" applyBorder="1" applyAlignment="1">
      <alignment readingOrder="1"/>
    </xf>
    <xf numFmtId="168" fontId="1" fillId="0" borderId="32" xfId="0" applyNumberFormat="1" applyFont="1" applyBorder="1" applyAlignment="1">
      <alignment readingOrder="1"/>
    </xf>
    <xf numFmtId="168" fontId="1" fillId="0" borderId="32" xfId="0" applyNumberFormat="1" applyFont="1" applyBorder="1"/>
    <xf numFmtId="168" fontId="2" fillId="0" borderId="33" xfId="0" applyNumberFormat="1" applyFont="1" applyBorder="1" applyAlignment="1">
      <alignment readingOrder="1"/>
    </xf>
    <xf numFmtId="0" fontId="1" fillId="0" borderId="0" xfId="0" applyFont="1" applyAlignment="1">
      <alignment readingOrder="1"/>
    </xf>
    <xf numFmtId="0" fontId="1" fillId="0" borderId="34" xfId="0" applyFont="1" applyBorder="1" applyAlignment="1">
      <alignment readingOrder="1"/>
    </xf>
    <xf numFmtId="0" fontId="1" fillId="0" borderId="24" xfId="0" applyFont="1" applyBorder="1" applyAlignment="1">
      <alignment readingOrder="1"/>
    </xf>
    <xf numFmtId="0" fontId="1" fillId="0" borderId="1" xfId="0" applyFont="1" applyBorder="1" applyAlignment="1">
      <alignment readingOrder="1"/>
    </xf>
    <xf numFmtId="0" fontId="1" fillId="0" borderId="35" xfId="0" applyFont="1" applyBorder="1" applyAlignment="1">
      <alignment readingOrder="1"/>
    </xf>
    <xf numFmtId="0" fontId="3" fillId="0" borderId="0" xfId="0" applyFont="1" applyAlignment="1">
      <alignment readingOrder="1"/>
    </xf>
    <xf numFmtId="4" fontId="1" fillId="0" borderId="0" xfId="0" applyNumberFormat="1" applyFont="1" applyAlignment="1">
      <alignment readingOrder="1"/>
    </xf>
    <xf numFmtId="0" fontId="1" fillId="8" borderId="0" xfId="0" applyFont="1" applyFill="1" applyAlignment="1">
      <alignment readingOrder="1"/>
    </xf>
    <xf numFmtId="0" fontId="2" fillId="0" borderId="0" xfId="0" applyFont="1" applyAlignment="1">
      <alignment readingOrder="1"/>
    </xf>
    <xf numFmtId="0" fontId="1" fillId="10" borderId="0" xfId="0" applyFont="1" applyFill="1" applyAlignment="1">
      <alignment readingOrder="1"/>
    </xf>
    <xf numFmtId="0" fontId="1" fillId="11" borderId="0" xfId="0" applyFont="1" applyFill="1" applyAlignment="1">
      <alignment readingOrder="1"/>
    </xf>
    <xf numFmtId="0" fontId="1" fillId="12" borderId="0" xfId="0" applyFont="1" applyFill="1" applyAlignment="1">
      <alignment readingOrder="1"/>
    </xf>
    <xf numFmtId="0" fontId="1" fillId="13" borderId="0" xfId="0" applyFont="1" applyFill="1" applyAlignment="1">
      <alignment readingOrder="1"/>
    </xf>
    <xf numFmtId="0" fontId="1" fillId="0" borderId="25" xfId="0" applyFont="1" applyBorder="1" applyAlignment="1">
      <alignment readingOrder="1"/>
    </xf>
    <xf numFmtId="0" fontId="1" fillId="0" borderId="26" xfId="0" applyFont="1" applyBorder="1" applyAlignment="1">
      <alignment readingOrder="1"/>
    </xf>
    <xf numFmtId="0" fontId="1" fillId="0" borderId="49" xfId="0" applyFont="1" applyBorder="1" applyAlignment="1">
      <alignment readingOrder="1"/>
    </xf>
    <xf numFmtId="0" fontId="1" fillId="0" borderId="52" xfId="0" applyFont="1" applyBorder="1" applyAlignment="1">
      <alignment readingOrder="1"/>
    </xf>
    <xf numFmtId="4" fontId="1" fillId="0" borderId="52" xfId="0" applyNumberFormat="1" applyFont="1" applyBorder="1" applyAlignment="1">
      <alignment readingOrder="1"/>
    </xf>
    <xf numFmtId="4" fontId="1" fillId="0" borderId="50" xfId="0" applyNumberFormat="1" applyFont="1" applyBorder="1"/>
    <xf numFmtId="0" fontId="13" fillId="0" borderId="0" xfId="0" applyFont="1" applyAlignment="1">
      <alignment readingOrder="1"/>
    </xf>
    <xf numFmtId="0" fontId="1" fillId="9" borderId="53" xfId="0" applyFont="1" applyFill="1" applyBorder="1" applyAlignment="1">
      <alignment readingOrder="1"/>
    </xf>
    <xf numFmtId="0" fontId="1" fillId="9" borderId="54" xfId="0" applyFont="1" applyFill="1" applyBorder="1" applyAlignment="1">
      <alignment readingOrder="1"/>
    </xf>
    <xf numFmtId="8" fontId="1" fillId="9" borderId="55" xfId="0" applyNumberFormat="1" applyFont="1" applyFill="1" applyBorder="1" applyAlignment="1">
      <alignment readingOrder="1"/>
    </xf>
    <xf numFmtId="0" fontId="1" fillId="0" borderId="51" xfId="0" applyFont="1" applyBorder="1" applyAlignment="1">
      <alignment readingOrder="1"/>
    </xf>
    <xf numFmtId="8" fontId="1" fillId="0" borderId="36" xfId="0" applyNumberFormat="1" applyFont="1" applyBorder="1" applyAlignment="1">
      <alignment readingOrder="1"/>
    </xf>
    <xf numFmtId="0" fontId="1" fillId="0" borderId="56" xfId="0" applyFont="1" applyBorder="1" applyAlignment="1">
      <alignment readingOrder="1"/>
    </xf>
    <xf numFmtId="4" fontId="1" fillId="0" borderId="26" xfId="0" applyNumberFormat="1" applyFont="1" applyBorder="1" applyAlignment="1">
      <alignment readingOrder="1"/>
    </xf>
    <xf numFmtId="4" fontId="1" fillId="8" borderId="0" xfId="0" applyNumberFormat="1" applyFont="1" applyFill="1" applyAlignment="1">
      <alignment readingOrder="1"/>
    </xf>
    <xf numFmtId="4" fontId="1" fillId="0" borderId="27" xfId="0" applyNumberFormat="1" applyFont="1" applyBorder="1" applyAlignment="1">
      <alignment readingOrder="1"/>
    </xf>
    <xf numFmtId="4" fontId="1" fillId="10" borderId="0" xfId="0" applyNumberFormat="1" applyFont="1" applyFill="1" applyAlignment="1">
      <alignment readingOrder="1"/>
    </xf>
    <xf numFmtId="4" fontId="1" fillId="11" borderId="0" xfId="0" applyNumberFormat="1" applyFont="1" applyFill="1" applyAlignment="1">
      <alignment readingOrder="1"/>
    </xf>
    <xf numFmtId="4" fontId="1" fillId="13" borderId="0" xfId="0" applyNumberFormat="1" applyFont="1" applyFill="1" applyAlignment="1">
      <alignment readingOrder="1"/>
    </xf>
    <xf numFmtId="4" fontId="1" fillId="0" borderId="1" xfId="0" applyNumberFormat="1" applyFont="1" applyBorder="1"/>
    <xf numFmtId="4" fontId="2" fillId="0" borderId="30" xfId="0" applyNumberFormat="1" applyFont="1" applyBorder="1"/>
    <xf numFmtId="4" fontId="1" fillId="0" borderId="0" xfId="0" applyNumberFormat="1" applyFont="1"/>
    <xf numFmtId="4" fontId="2" fillId="0" borderId="32" xfId="0" applyNumberFormat="1" applyFont="1" applyBorder="1"/>
    <xf numFmtId="0" fontId="1" fillId="0" borderId="34" xfId="0" applyFont="1" applyBorder="1"/>
    <xf numFmtId="4" fontId="14" fillId="0" borderId="51" xfId="0" applyNumberFormat="1" applyFont="1" applyBorder="1"/>
    <xf numFmtId="4" fontId="15" fillId="0" borderId="36" xfId="0" applyNumberFormat="1" applyFont="1" applyBorder="1"/>
    <xf numFmtId="4" fontId="1" fillId="0" borderId="52" xfId="0" applyNumberFormat="1" applyFont="1" applyBorder="1"/>
    <xf numFmtId="4" fontId="2" fillId="0" borderId="50" xfId="0" applyNumberFormat="1" applyFont="1" applyBorder="1"/>
    <xf numFmtId="0" fontId="1" fillId="5" borderId="2" xfId="0" applyFont="1" applyFill="1" applyBorder="1"/>
    <xf numFmtId="0" fontId="1" fillId="0" borderId="17" xfId="0" applyFont="1" applyBorder="1"/>
    <xf numFmtId="0" fontId="1" fillId="0" borderId="16" xfId="0" applyFont="1" applyBorder="1"/>
    <xf numFmtId="10" fontId="2" fillId="0" borderId="41" xfId="0" applyNumberFormat="1" applyFont="1" applyBorder="1"/>
    <xf numFmtId="168" fontId="1" fillId="0" borderId="38" xfId="0" applyNumberFormat="1" applyFont="1" applyBorder="1" applyAlignment="1">
      <alignment wrapText="1"/>
    </xf>
    <xf numFmtId="168" fontId="1" fillId="0" borderId="43" xfId="0" applyNumberFormat="1" applyFont="1" applyBorder="1" applyAlignment="1">
      <alignment wrapText="1"/>
    </xf>
    <xf numFmtId="168" fontId="1" fillId="0" borderId="37" xfId="0" applyNumberFormat="1" applyFont="1" applyBorder="1" applyAlignment="1">
      <alignment wrapText="1"/>
    </xf>
    <xf numFmtId="168" fontId="1" fillId="0" borderId="39" xfId="0" applyNumberFormat="1" applyFont="1" applyBorder="1" applyAlignment="1">
      <alignment wrapText="1"/>
    </xf>
    <xf numFmtId="168" fontId="1" fillId="0" borderId="40" xfId="0" applyNumberFormat="1" applyFont="1" applyBorder="1" applyAlignment="1">
      <alignment wrapText="1"/>
    </xf>
    <xf numFmtId="168" fontId="1" fillId="0" borderId="41" xfId="0" applyNumberFormat="1" applyFont="1" applyBorder="1" applyAlignment="1">
      <alignment wrapText="1"/>
    </xf>
    <xf numFmtId="168" fontId="1" fillId="0" borderId="47" xfId="0" applyNumberFormat="1" applyFont="1" applyBorder="1" applyAlignment="1">
      <alignment wrapText="1"/>
    </xf>
    <xf numFmtId="168" fontId="1" fillId="0" borderId="42" xfId="0" applyNumberFormat="1" applyFont="1" applyBorder="1" applyAlignment="1">
      <alignment wrapText="1"/>
    </xf>
    <xf numFmtId="168" fontId="1" fillId="0" borderId="44" xfId="0" applyNumberFormat="1" applyFont="1" applyBorder="1" applyAlignment="1">
      <alignment wrapText="1"/>
    </xf>
    <xf numFmtId="168" fontId="1" fillId="0" borderId="45" xfId="0" applyNumberFormat="1" applyFont="1" applyBorder="1" applyAlignment="1">
      <alignment wrapText="1"/>
    </xf>
    <xf numFmtId="168" fontId="1" fillId="0" borderId="46" xfId="0" applyNumberFormat="1" applyFont="1" applyBorder="1" applyAlignment="1">
      <alignment wrapText="1"/>
    </xf>
    <xf numFmtId="10" fontId="2" fillId="0" borderId="44" xfId="0" applyNumberFormat="1" applyFont="1" applyBorder="1"/>
    <xf numFmtId="168" fontId="1" fillId="0" borderId="48" xfId="0" applyNumberFormat="1" applyFont="1" applyBorder="1" applyAlignment="1">
      <alignment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Growth (%)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'FCF Components'!$B$8</c:f>
              <c:strCache>
                <c:ptCount val="1"/>
                <c:pt idx="0">
                  <c:v>Online stores growth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'FCF Components'!$D$3:$G$3</c:f>
              <c:numCache>
                <c:formatCode>####\A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'FCF Components'!$D$8:$G$8</c:f>
              <c:numCache>
                <c:formatCode>0%</c:formatCode>
                <c:ptCount val="4"/>
                <c:pt idx="0">
                  <c:v>-9.3256782618484912E-3</c:v>
                </c:pt>
                <c:pt idx="1">
                  <c:v>5.3944473736841081E-2</c:v>
                </c:pt>
                <c:pt idx="2">
                  <c:v>6.5367961634005045E-2</c:v>
                </c:pt>
                <c:pt idx="3">
                  <c:v>9.0102781454808989E-2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3-42B2-B6AF-151434E9C37B}"/>
            </c:ext>
          </c:extLst>
        </c:ser>
        <c:ser>
          <c:idx val="4"/>
          <c:order val="4"/>
          <c:tx>
            <c:strRef>
              <c:f>'FCF Components'!$B$11</c:f>
              <c:strCache>
                <c:ptCount val="1"/>
                <c:pt idx="0">
                  <c:v>Physical stores growth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'FCF Components'!$D$3:$G$3</c:f>
              <c:numCache>
                <c:formatCode>####\A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'FCF Components'!$D$11:$G$11</c:f>
              <c:numCache>
                <c:formatCode>0%</c:formatCode>
                <c:ptCount val="4"/>
                <c:pt idx="0">
                  <c:v>0.11057101024890192</c:v>
                </c:pt>
                <c:pt idx="1">
                  <c:v>5.6267468227601203E-2</c:v>
                </c:pt>
                <c:pt idx="2">
                  <c:v>5.9161258112830684E-2</c:v>
                </c:pt>
                <c:pt idx="3">
                  <c:v>6.3445675229790277E-2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E3-42B2-B6AF-151434E9C37B}"/>
            </c:ext>
          </c:extLst>
        </c:ser>
        <c:ser>
          <c:idx val="5"/>
          <c:order val="5"/>
          <c:tx>
            <c:strRef>
              <c:f>'FCF Components'!$B$14</c:f>
              <c:strCache>
                <c:ptCount val="1"/>
                <c:pt idx="0">
                  <c:v>Third-party seller services growth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'FCF Components'!$D$3:$G$3</c:f>
              <c:numCache>
                <c:formatCode>####\A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'FCF Components'!$D$14:$G$14</c:f>
              <c:numCache>
                <c:formatCode>0%</c:formatCode>
                <c:ptCount val="4"/>
                <c:pt idx="0">
                  <c:v>0.13882708047133496</c:v>
                </c:pt>
                <c:pt idx="1">
                  <c:v>0.18975330456352579</c:v>
                </c:pt>
                <c:pt idx="2">
                  <c:v>0.11490649968226307</c:v>
                </c:pt>
                <c:pt idx="3">
                  <c:v>0.10257067103864337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E3-42B2-B6AF-151434E9C37B}"/>
            </c:ext>
          </c:extLst>
        </c:ser>
        <c:ser>
          <c:idx val="6"/>
          <c:order val="6"/>
          <c:tx>
            <c:strRef>
              <c:f>'FCF Components'!$B$17</c:f>
              <c:strCache>
                <c:ptCount val="1"/>
                <c:pt idx="0">
                  <c:v>Advertising services growth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'FCF Components'!$D$3:$G$3</c:f>
              <c:numCache>
                <c:formatCode>####\A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'FCF Components'!$D$17:$G$17</c:f>
              <c:numCache>
                <c:formatCode>0%</c:formatCode>
                <c:ptCount val="4"/>
                <c:pt idx="0">
                  <c:v>0.21113607188703476</c:v>
                </c:pt>
                <c:pt idx="1">
                  <c:v>0.24290521741434601</c:v>
                </c:pt>
                <c:pt idx="2">
                  <c:v>0.19843943205560066</c:v>
                </c:pt>
                <c:pt idx="3">
                  <c:v>0.22095919166044053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E3-42B2-B6AF-151434E9C37B}"/>
            </c:ext>
          </c:extLst>
        </c:ser>
        <c:ser>
          <c:idx val="7"/>
          <c:order val="7"/>
          <c:tx>
            <c:strRef>
              <c:f>'FCF Components'!$B$20</c:f>
              <c:strCache>
                <c:ptCount val="1"/>
                <c:pt idx="0">
                  <c:v>Subscription services growth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'FCF Components'!$D$3:$G$3</c:f>
              <c:numCache>
                <c:formatCode>####\A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'FCF Components'!$D$20:$G$20</c:f>
              <c:numCache>
                <c:formatCode>0%</c:formatCode>
                <c:ptCount val="4"/>
                <c:pt idx="0">
                  <c:v>0.10859984890455809</c:v>
                </c:pt>
                <c:pt idx="1">
                  <c:v>0.14171730365154178</c:v>
                </c:pt>
                <c:pt idx="2">
                  <c:v>0.10358377477679137</c:v>
                </c:pt>
                <c:pt idx="3">
                  <c:v>0.11819984675710993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E3-42B2-B6AF-151434E9C37B}"/>
            </c:ext>
          </c:extLst>
        </c:ser>
        <c:ser>
          <c:idx val="8"/>
          <c:order val="8"/>
          <c:tx>
            <c:strRef>
              <c:f>'FCF Components'!$B$23</c:f>
              <c:strCache>
                <c:ptCount val="1"/>
                <c:pt idx="0">
                  <c:v>AWS growth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'FCF Components'!$D$3:$G$3</c:f>
              <c:numCache>
                <c:formatCode>####\A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'FCF Components'!$D$23:$G$23</c:f>
              <c:numCache>
                <c:formatCode>0%</c:formatCode>
                <c:ptCount val="4"/>
                <c:pt idx="0">
                  <c:v>0.28767563743931057</c:v>
                </c:pt>
                <c:pt idx="1">
                  <c:v>0.13310277666799841</c:v>
                </c:pt>
                <c:pt idx="2">
                  <c:v>0.18509867007503544</c:v>
                </c:pt>
                <c:pt idx="3">
                  <c:v>0.19681840157685304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E3-42B2-B6AF-151434E9C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757392"/>
        <c:axId val="15817578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'FCF Components'!$B$7</c15:sqref>
                        </c15:formulaRef>
                      </c:ext>
                    </c:extLst>
                    <c:strCache>
                      <c:ptCount val="1"/>
                      <c:pt idx="0">
                        <c:v>Online stores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'FCF Components'!$D$3:$G$3</c15:sqref>
                        </c15:formulaRef>
                      </c:ext>
                    </c:extLst>
                    <c:numCache>
                      <c:formatCode>####\A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'FCF Components'!$C$7:$L$7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222075</c:v>
                      </c:pt>
                      <c:pt idx="1">
                        <c:v>220004</c:v>
                      </c:pt>
                      <c:pt idx="2">
                        <c:v>231872</c:v>
                      </c:pt>
                      <c:pt idx="3">
                        <c:v>247029</c:v>
                      </c:pt>
                      <c:pt idx="4">
                        <c:v>269287</c:v>
                      </c:pt>
                      <c:pt idx="5" formatCode="_(* #,##0_);_(* \(#,##0\);_(* &quot;-&quot;??_);_(@_)">
                        <c:v>289483.52499999997</c:v>
                      </c:pt>
                      <c:pt idx="6" formatCode="_(* #,##0_);_(* \(#,##0\);_(* &quot;-&quot;??_);_(@_)">
                        <c:v>309805.26845499995</c:v>
                      </c:pt>
                      <c:pt idx="7" formatCode="_(* #,##0_);_(* \(#,##0\);_(* &quot;-&quot;??_);_(@_)">
                        <c:v>331367.71513946791</c:v>
                      </c:pt>
                      <c:pt idx="8" formatCode="_(* #,##0_);_(* \(#,##0\);_(* &quot;-&quot;??_);_(@_)">
                        <c:v>355524.42157313513</c:v>
                      </c:pt>
                      <c:pt idx="9" formatCode="_(* #,##0_);_(* \(#,##0\);_(* &quot;-&quot;??_);_(@_)">
                        <c:v>380979.97015777166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8E3-42B2-B6AF-151434E9C37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Components'!$B$9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Components'!$D$3:$G$3</c15:sqref>
                        </c15:formulaRef>
                      </c:ext>
                    </c:extLst>
                    <c:numCache>
                      <c:formatCode>####\A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Components'!$C$9:$L$9</c15:sqref>
                        </c15:formulaRef>
                      </c:ext>
                    </c:extLst>
                    <c:numCache>
                      <c:formatCode>0%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E3-42B2-B6AF-151434E9C37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Components'!$B$10</c15:sqref>
                        </c15:formulaRef>
                      </c:ext>
                    </c:extLst>
                    <c:strCache>
                      <c:ptCount val="1"/>
                      <c:pt idx="0">
                        <c:v>Physical stores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Components'!$D$3:$G$3</c15:sqref>
                        </c15:formulaRef>
                      </c:ext>
                    </c:extLst>
                    <c:numCache>
                      <c:formatCode>####\A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Components'!$C$10:$L$10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17075</c:v>
                      </c:pt>
                      <c:pt idx="1">
                        <c:v>18963</c:v>
                      </c:pt>
                      <c:pt idx="2">
                        <c:v>20030</c:v>
                      </c:pt>
                      <c:pt idx="3">
                        <c:v>21215</c:v>
                      </c:pt>
                      <c:pt idx="4">
                        <c:v>22561</c:v>
                      </c:pt>
                      <c:pt idx="5" formatCode="_(* #,##0_);_(* \(#,##0\);_(* &quot;-&quot;??_);_(@_)">
                        <c:v>23704.842700000001</c:v>
                      </c:pt>
                      <c:pt idx="6" formatCode="_(* #,##0_);_(* \(#,##0\);_(* &quot;-&quot;??_);_(@_)">
                        <c:v>24890.084835000001</c:v>
                      </c:pt>
                      <c:pt idx="7" formatCode="_(* #,##0_);_(* \(#,##0\);_(* &quot;-&quot;??_);_(@_)">
                        <c:v>26005.160635608001</c:v>
                      </c:pt>
                      <c:pt idx="8" formatCode="_(* #,##0_);_(* \(#,##0\);_(* &quot;-&quot;??_);_(@_)">
                        <c:v>27128.583575066263</c:v>
                      </c:pt>
                      <c:pt idx="9" formatCode="_(* #,##0_);_(* \(#,##0\);_(* &quot;-&quot;??_);_(@_)">
                        <c:v>28257.132651789023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8E3-42B2-B6AF-151434E9C37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Components'!$B$26</c15:sqref>
                        </c15:formulaRef>
                      </c:ext>
                    </c:extLst>
                    <c:strCache>
                      <c:ptCount val="1"/>
                      <c:pt idx="0">
                        <c:v>Other growth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Components'!$D$3:$G$3</c15:sqref>
                        </c15:formulaRef>
                      </c:ext>
                    </c:extLst>
                    <c:numCache>
                      <c:formatCode>####\A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'FCF Components'!$D$26:$G$26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1">
                        <c:v>0.16741229102896171</c:v>
                      </c:pt>
                      <c:pt idx="2">
                        <c:v>9.4191206131504668E-2</c:v>
                      </c:pt>
                      <c:pt idx="3">
                        <c:v>9.4009216589861833E-2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E3-42B2-B6AF-151434E9C37B}"/>
                  </c:ext>
                </c:extLst>
              </c15:ser>
            </c15:filteredBarSeries>
          </c:ext>
        </c:extLst>
      </c:barChart>
      <c:catAx>
        <c:axId val="1581757392"/>
        <c:scaling>
          <c:orientation val="minMax"/>
        </c:scaling>
        <c:delete val="0"/>
        <c:axPos val="b"/>
        <c:numFmt formatCode="####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757872"/>
        <c:crosses val="autoZero"/>
        <c:auto val="1"/>
        <c:lblAlgn val="ctr"/>
        <c:lblOffset val="100"/>
        <c:noMultiLvlLbl val="0"/>
      </c:catAx>
      <c:valAx>
        <c:axId val="15817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75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855959494424923E-2"/>
          <c:y val="0.81415812216064287"/>
          <c:w val="0.90043938124755685"/>
          <c:h val="0.165614320473526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3090023</xdr:colOff>
      <xdr:row>5</xdr:row>
      <xdr:rowOff>155481</xdr:rowOff>
    </xdr:from>
    <xdr:to>
      <xdr:col>20</xdr:col>
      <xdr:colOff>512110</xdr:colOff>
      <xdr:row>24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6A30E-E361-6303-A31C-3BBA63348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regory Seleznev" id="{8F6D3BF1-02DA-4540-90C6-79483B4406EA}" userId="S::gselez@umd.edu::31ccca62-c3dd-4a21-88d8-5b1dc160ea4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2" dT="2026-03-27T00:20:51.86" personId="{8F6D3BF1-02DA-4540-90C6-79483B4406EA}" id="{C667222A-FDDD-48FE-A1AC-6BA45A968980}">
    <text>This is a net figure from purchases of PP&amp;E - Proceeds from PP&amp;E sales</text>
  </threadedComment>
  <threadedComment ref="B66" dT="2026-03-29T15:22:06.15" personId="{8F6D3BF1-02DA-4540-90C6-79483B4406EA}" id="{80E7C222-9A04-441F-BA75-79F83570182B}">
    <text>A ratio of .30 means 30 cents of net fixed capital investment for every $1 increase in sales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8B1AD0-2BDC-48C6-8CB3-E3F5FE718D6E}">
  <we:reference id="wa200009404" version="1.0.0.5" store="en-US" storeType="OMEX"/>
  <we:alternateReferences>
    <we:reference id="WA200009404" version="1.0.0.5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BE84-1C5D-FD48-AC8F-699E03C2C2B6}">
  <dimension ref="B2:N132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28" sqref="L28"/>
    </sheetView>
  </sheetViews>
  <sheetFormatPr defaultColWidth="10.69921875" defaultRowHeight="15.6" x14ac:dyDescent="0.3"/>
  <cols>
    <col min="1" max="1" width="10.69921875" style="1"/>
    <col min="2" max="2" width="13" style="1" customWidth="1"/>
    <col min="3" max="3" width="40.19921875" style="1" customWidth="1"/>
    <col min="4" max="4" width="21.3984375" style="1" bestFit="1" customWidth="1"/>
    <col min="5" max="8" width="10.69921875" style="1"/>
    <col min="9" max="9" width="14.8984375" style="1" bestFit="1" customWidth="1"/>
    <col min="10" max="12" width="10.69921875" style="1"/>
    <col min="13" max="13" width="10.69921875" style="1" customWidth="1"/>
    <col min="14" max="16384" width="10.69921875" style="1"/>
  </cols>
  <sheetData>
    <row r="2" spans="2:14" ht="16.2" thickBot="1" x14ac:dyDescent="0.35"/>
    <row r="3" spans="2:14" x14ac:dyDescent="0.3">
      <c r="C3" s="34" t="s">
        <v>0</v>
      </c>
      <c r="D3" s="33">
        <v>2</v>
      </c>
      <c r="J3" s="2"/>
    </row>
    <row r="4" spans="2:14" x14ac:dyDescent="0.3">
      <c r="C4" s="31" t="s">
        <v>1</v>
      </c>
      <c r="D4" s="32">
        <v>1</v>
      </c>
    </row>
    <row r="5" spans="2:14" x14ac:dyDescent="0.3">
      <c r="C5" s="21" t="s">
        <v>2</v>
      </c>
      <c r="D5" s="24">
        <v>2</v>
      </c>
    </row>
    <row r="6" spans="2:14" ht="16.2" thickBot="1" x14ac:dyDescent="0.35">
      <c r="C6" s="22" t="s">
        <v>3</v>
      </c>
      <c r="D6" s="20">
        <v>3</v>
      </c>
    </row>
    <row r="8" spans="2:14" x14ac:dyDescent="0.3">
      <c r="B8" s="4" t="s">
        <v>4</v>
      </c>
      <c r="C8" s="4" t="s">
        <v>5</v>
      </c>
      <c r="D8" s="5">
        <v>2021</v>
      </c>
      <c r="E8" s="5">
        <f>D8+1</f>
        <v>2022</v>
      </c>
      <c r="F8" s="5">
        <f t="shared" ref="F8:M8" si="0">E8+1</f>
        <v>2023</v>
      </c>
      <c r="G8" s="5">
        <f t="shared" si="0"/>
        <v>2024</v>
      </c>
      <c r="H8" s="5">
        <f t="shared" si="0"/>
        <v>2025</v>
      </c>
      <c r="I8" s="6">
        <f t="shared" si="0"/>
        <v>2026</v>
      </c>
      <c r="J8" s="6">
        <f t="shared" si="0"/>
        <v>2027</v>
      </c>
      <c r="K8" s="6">
        <f t="shared" si="0"/>
        <v>2028</v>
      </c>
      <c r="L8" s="6">
        <f t="shared" si="0"/>
        <v>2029</v>
      </c>
      <c r="M8" s="6">
        <f t="shared" si="0"/>
        <v>2030</v>
      </c>
    </row>
    <row r="10" spans="2:14" x14ac:dyDescent="0.3">
      <c r="C10" s="2" t="s">
        <v>6</v>
      </c>
    </row>
    <row r="11" spans="2:14" x14ac:dyDescent="0.3">
      <c r="C11" s="16" t="s">
        <v>7</v>
      </c>
    </row>
    <row r="12" spans="2:14" x14ac:dyDescent="0.3">
      <c r="C12" s="1" t="str">
        <f ca="1">OFFSET(C12,$D$3,0)</f>
        <v>Base</v>
      </c>
      <c r="D12" s="2"/>
      <c r="E12" s="2"/>
      <c r="F12" s="2"/>
      <c r="G12" s="2"/>
      <c r="H12" s="2"/>
      <c r="I12" s="51">
        <f ca="1">OFFSET(I12,$D$3,0)</f>
        <v>7.4999999999999997E-2</v>
      </c>
      <c r="J12" s="51">
        <f ca="1">OFFSET(J12,$D$3,0)</f>
        <v>7.0199999999999999E-2</v>
      </c>
      <c r="K12" s="51">
        <f ca="1">OFFSET(K12,$D$3,0)</f>
        <v>6.9599999999999995E-2</v>
      </c>
      <c r="L12" s="51">
        <f ca="1">OFFSET(L12,$D$3,0)</f>
        <v>7.2900000000000006E-2</v>
      </c>
      <c r="M12" s="51">
        <f ca="1">OFFSET(M12,$D$3,0)</f>
        <v>7.1599999999999997E-2</v>
      </c>
    </row>
    <row r="13" spans="2:14" x14ac:dyDescent="0.3">
      <c r="B13" s="120">
        <v>0.5</v>
      </c>
      <c r="C13" s="14" t="s">
        <v>1</v>
      </c>
      <c r="D13" s="3"/>
      <c r="E13" s="3"/>
      <c r="F13" s="3"/>
      <c r="G13" s="3"/>
      <c r="H13" s="3"/>
      <c r="I13" s="100">
        <f>I14*$B13</f>
        <v>3.7499999999999999E-2</v>
      </c>
      <c r="J13" s="100">
        <f t="shared" ref="J13:M13" si="1">J14*$B13</f>
        <v>3.5099999999999999E-2</v>
      </c>
      <c r="K13" s="100">
        <f t="shared" si="1"/>
        <v>3.4799999999999998E-2</v>
      </c>
      <c r="L13" s="100">
        <f t="shared" si="1"/>
        <v>3.6450000000000003E-2</v>
      </c>
      <c r="M13" s="100">
        <f t="shared" si="1"/>
        <v>3.5799999999999998E-2</v>
      </c>
      <c r="N13" s="1" t="s">
        <v>8</v>
      </c>
    </row>
    <row r="14" spans="2:14" x14ac:dyDescent="0.3">
      <c r="B14" s="120"/>
      <c r="C14" s="1" t="s">
        <v>2</v>
      </c>
      <c r="D14" s="8"/>
      <c r="E14" s="15">
        <f>'FCF Components'!D8</f>
        <v>-9.3256782618484912E-3</v>
      </c>
      <c r="F14" s="15">
        <f>'FCF Components'!E8</f>
        <v>5.3944473736841081E-2</v>
      </c>
      <c r="G14" s="15">
        <f>'FCF Components'!F8</f>
        <v>6.5367961634005045E-2</v>
      </c>
      <c r="H14" s="15">
        <f>'FCF Components'!G8</f>
        <v>9.0102781454808989E-2</v>
      </c>
      <c r="I14" s="101">
        <v>7.4999999999999997E-2</v>
      </c>
      <c r="J14" s="101">
        <v>7.0199999999999999E-2</v>
      </c>
      <c r="K14" s="101">
        <v>6.9599999999999995E-2</v>
      </c>
      <c r="L14" s="101">
        <v>7.2900000000000006E-2</v>
      </c>
      <c r="M14" s="101">
        <v>7.1599999999999997E-2</v>
      </c>
    </row>
    <row r="15" spans="2:14" x14ac:dyDescent="0.3">
      <c r="B15" s="120">
        <v>1.35</v>
      </c>
      <c r="C15" s="1" t="s">
        <v>3</v>
      </c>
      <c r="I15" s="101">
        <f>I14*$B15</f>
        <v>0.10125000000000001</v>
      </c>
      <c r="J15" s="101">
        <f t="shared" ref="J15:M15" si="2">J14*$B15</f>
        <v>9.4770000000000007E-2</v>
      </c>
      <c r="K15" s="101">
        <f t="shared" si="2"/>
        <v>9.3960000000000002E-2</v>
      </c>
      <c r="L15" s="101">
        <f t="shared" si="2"/>
        <v>9.8415000000000016E-2</v>
      </c>
      <c r="M15" s="101">
        <f t="shared" si="2"/>
        <v>9.6659999999999996E-2</v>
      </c>
      <c r="N15" s="1" t="s">
        <v>9</v>
      </c>
    </row>
    <row r="16" spans="2:14" x14ac:dyDescent="0.3">
      <c r="B16" s="120"/>
      <c r="C16" s="13"/>
      <c r="I16" s="37"/>
      <c r="J16" s="37"/>
      <c r="K16" s="37"/>
      <c r="L16" s="37"/>
      <c r="M16" s="37"/>
    </row>
    <row r="17" spans="2:14" x14ac:dyDescent="0.3">
      <c r="B17" s="120"/>
      <c r="C17" s="16" t="s">
        <v>10</v>
      </c>
      <c r="I17" s="37"/>
      <c r="J17" s="37"/>
      <c r="K17" s="37"/>
      <c r="L17" s="37"/>
      <c r="M17" s="37"/>
    </row>
    <row r="18" spans="2:14" x14ac:dyDescent="0.3">
      <c r="B18" s="120"/>
      <c r="C18" s="1" t="str">
        <f ca="1">OFFSET(C18,$D$3,0)</f>
        <v>Base</v>
      </c>
      <c r="D18" s="2"/>
      <c r="E18" s="2"/>
      <c r="F18" s="2"/>
      <c r="G18" s="2"/>
      <c r="H18" s="2"/>
      <c r="I18" s="51">
        <f ca="1">OFFSET(I18,$D$3,0)</f>
        <v>5.0700000000000002E-2</v>
      </c>
      <c r="J18" s="51">
        <f ca="1">OFFSET(J18,$D$3,0)</f>
        <v>0.05</v>
      </c>
      <c r="K18" s="51">
        <f ca="1">OFFSET(K18,$D$3,0)</f>
        <v>4.48E-2</v>
      </c>
      <c r="L18" s="51">
        <f ca="1">OFFSET(L18,$D$3,0)</f>
        <v>4.3200000000000002E-2</v>
      </c>
      <c r="M18" s="51">
        <f ca="1">OFFSET(M18,$D$3,0)</f>
        <v>4.1599999999999998E-2</v>
      </c>
    </row>
    <row r="19" spans="2:14" x14ac:dyDescent="0.3">
      <c r="B19" s="120">
        <v>0.4</v>
      </c>
      <c r="C19" s="14" t="s">
        <v>1</v>
      </c>
      <c r="D19" s="3"/>
      <c r="E19" s="3"/>
      <c r="F19" s="3"/>
      <c r="G19" s="3"/>
      <c r="H19" s="3"/>
      <c r="I19" s="100">
        <f>I20*$B19</f>
        <v>2.0280000000000003E-2</v>
      </c>
      <c r="J19" s="100">
        <f t="shared" ref="J19" si="3">J20*$B19</f>
        <v>2.0000000000000004E-2</v>
      </c>
      <c r="K19" s="100">
        <f t="shared" ref="K19" si="4">K20*$B19</f>
        <v>1.7920000000000002E-2</v>
      </c>
      <c r="L19" s="100">
        <f t="shared" ref="L19" si="5">L20*$B19</f>
        <v>1.728E-2</v>
      </c>
      <c r="M19" s="100">
        <f t="shared" ref="M19" si="6">M20*$B19</f>
        <v>1.6639999999999999E-2</v>
      </c>
      <c r="N19" s="1" t="s">
        <v>11</v>
      </c>
    </row>
    <row r="20" spans="2:14" x14ac:dyDescent="0.3">
      <c r="B20" s="120"/>
      <c r="C20" s="1" t="s">
        <v>2</v>
      </c>
      <c r="D20" s="15"/>
      <c r="E20" s="15">
        <f>'FCF Components'!D11</f>
        <v>0.11057101024890192</v>
      </c>
      <c r="F20" s="15">
        <f>'FCF Components'!E11</f>
        <v>5.6267468227601203E-2</v>
      </c>
      <c r="G20" s="15">
        <f>'FCF Components'!F11</f>
        <v>5.9161258112830684E-2</v>
      </c>
      <c r="H20" s="15">
        <f>'FCF Components'!G11</f>
        <v>6.3445675229790277E-2</v>
      </c>
      <c r="I20" s="101">
        <v>5.0700000000000002E-2</v>
      </c>
      <c r="J20" s="101">
        <v>0.05</v>
      </c>
      <c r="K20" s="101">
        <v>4.48E-2</v>
      </c>
      <c r="L20" s="101">
        <v>4.3200000000000002E-2</v>
      </c>
      <c r="M20" s="101">
        <v>4.1599999999999998E-2</v>
      </c>
    </row>
    <row r="21" spans="2:14" x14ac:dyDescent="0.3">
      <c r="B21" s="120">
        <v>1.4</v>
      </c>
      <c r="C21" s="1" t="s">
        <v>3</v>
      </c>
      <c r="I21" s="101">
        <f>I20*$B21</f>
        <v>7.0980000000000001E-2</v>
      </c>
      <c r="J21" s="101">
        <f t="shared" ref="J21" si="7">J20*$B21</f>
        <v>6.9999999999999993E-2</v>
      </c>
      <c r="K21" s="101">
        <f t="shared" ref="K21" si="8">K20*$B21</f>
        <v>6.2719999999999998E-2</v>
      </c>
      <c r="L21" s="101">
        <f t="shared" ref="L21" si="9">L20*$B21</f>
        <v>6.0479999999999999E-2</v>
      </c>
      <c r="M21" s="101">
        <f t="shared" ref="M21" si="10">M20*$B21</f>
        <v>5.8239999999999993E-2</v>
      </c>
      <c r="N21" s="1" t="s">
        <v>12</v>
      </c>
    </row>
    <row r="22" spans="2:14" x14ac:dyDescent="0.3">
      <c r="B22" s="120"/>
      <c r="I22" s="37"/>
      <c r="J22" s="37"/>
      <c r="K22" s="37"/>
      <c r="L22" s="37"/>
      <c r="M22" s="37"/>
    </row>
    <row r="23" spans="2:14" x14ac:dyDescent="0.3">
      <c r="B23" s="120"/>
      <c r="C23" s="16" t="s">
        <v>13</v>
      </c>
      <c r="I23" s="37"/>
      <c r="J23" s="37"/>
      <c r="K23" s="37"/>
      <c r="L23" s="37"/>
      <c r="M23" s="37"/>
    </row>
    <row r="24" spans="2:14" x14ac:dyDescent="0.3">
      <c r="B24" s="120"/>
      <c r="C24" s="1" t="str">
        <f ca="1">OFFSET(C24,$D$3,0)</f>
        <v>Base</v>
      </c>
      <c r="D24" s="2"/>
      <c r="E24" s="2"/>
      <c r="F24" s="2"/>
      <c r="G24" s="2"/>
      <c r="H24" s="2"/>
      <c r="I24" s="51">
        <f ca="1">OFFSET(I24,$D$3,0)</f>
        <v>0.10539999999999999</v>
      </c>
      <c r="J24" s="51">
        <f ca="1">OFFSET(J24,$D$3,0)</f>
        <v>0.09</v>
      </c>
      <c r="K24" s="51">
        <f ca="1">OFFSET(K24,$D$3,0)</f>
        <v>9.5399999999999999E-2</v>
      </c>
      <c r="L24" s="51">
        <f ca="1">OFFSET(L24,$D$3,0)</f>
        <v>8.9300000000000004E-2</v>
      </c>
      <c r="M24" s="51">
        <f ca="1">OFFSET(M24,$D$3,0)</f>
        <v>8.3299999999999999E-2</v>
      </c>
    </row>
    <row r="25" spans="2:14" x14ac:dyDescent="0.3">
      <c r="B25" s="120">
        <v>0.65</v>
      </c>
      <c r="C25" s="14" t="s">
        <v>1</v>
      </c>
      <c r="D25" s="3"/>
      <c r="E25" s="3"/>
      <c r="F25" s="3"/>
      <c r="G25" s="3"/>
      <c r="H25" s="3"/>
      <c r="I25" s="100">
        <f>I26*$B25</f>
        <v>6.8510000000000001E-2</v>
      </c>
      <c r="J25" s="100">
        <f t="shared" ref="J25" si="11">J26*$B25</f>
        <v>5.8499999999999996E-2</v>
      </c>
      <c r="K25" s="100">
        <f t="shared" ref="K25" si="12">K26*$B25</f>
        <v>6.2010000000000003E-2</v>
      </c>
      <c r="L25" s="100">
        <f t="shared" ref="L25" si="13">L26*$B25</f>
        <v>5.8045000000000006E-2</v>
      </c>
      <c r="M25" s="100">
        <f t="shared" ref="M25" si="14">M26*$B25</f>
        <v>5.4144999999999999E-2</v>
      </c>
      <c r="N25" s="1" t="s">
        <v>14</v>
      </c>
    </row>
    <row r="26" spans="2:14" x14ac:dyDescent="0.3">
      <c r="B26" s="120"/>
      <c r="C26" s="1" t="s">
        <v>2</v>
      </c>
      <c r="D26" s="15"/>
      <c r="E26" s="15">
        <f>'FCF Components'!D14</f>
        <v>0.13882708047133496</v>
      </c>
      <c r="F26" s="15">
        <f>'FCF Components'!E14</f>
        <v>0.18975330456352579</v>
      </c>
      <c r="G26" s="15">
        <f>'FCF Components'!F14</f>
        <v>0.11490649968226307</v>
      </c>
      <c r="H26" s="15">
        <f>'FCF Components'!G14</f>
        <v>0.10257067103864337</v>
      </c>
      <c r="I26" s="101">
        <v>0.10539999999999999</v>
      </c>
      <c r="J26" s="101">
        <v>0.09</v>
      </c>
      <c r="K26" s="101">
        <v>9.5399999999999999E-2</v>
      </c>
      <c r="L26" s="101">
        <v>8.9300000000000004E-2</v>
      </c>
      <c r="M26" s="101">
        <v>8.3299999999999999E-2</v>
      </c>
    </row>
    <row r="27" spans="2:14" x14ac:dyDescent="0.3">
      <c r="B27" s="120">
        <v>1.25</v>
      </c>
      <c r="C27" s="1" t="s">
        <v>3</v>
      </c>
      <c r="I27" s="101">
        <f>I26*$B27</f>
        <v>0.13174999999999998</v>
      </c>
      <c r="J27" s="101">
        <f t="shared" ref="J27" si="15">J26*$B27</f>
        <v>0.11249999999999999</v>
      </c>
      <c r="K27" s="101">
        <f t="shared" ref="K27" si="16">K26*$B27</f>
        <v>0.11924999999999999</v>
      </c>
      <c r="L27" s="101">
        <f t="shared" ref="L27" si="17">L26*$B27</f>
        <v>0.111625</v>
      </c>
      <c r="M27" s="101">
        <f t="shared" ref="M27" si="18">M26*$B27</f>
        <v>0.104125</v>
      </c>
      <c r="N27" s="1" t="s">
        <v>15</v>
      </c>
    </row>
    <row r="28" spans="2:14" x14ac:dyDescent="0.3">
      <c r="B28" s="120"/>
      <c r="C28" s="13"/>
      <c r="I28" s="37"/>
      <c r="J28" s="37"/>
      <c r="K28" s="37"/>
      <c r="L28" s="37"/>
      <c r="M28" s="37"/>
    </row>
    <row r="29" spans="2:14" x14ac:dyDescent="0.3">
      <c r="B29" s="120"/>
      <c r="C29" s="16" t="s">
        <v>16</v>
      </c>
      <c r="I29" s="37"/>
      <c r="J29" s="37"/>
      <c r="K29" s="37"/>
      <c r="L29" s="37"/>
      <c r="M29" s="37"/>
    </row>
    <row r="30" spans="2:14" x14ac:dyDescent="0.3">
      <c r="B30" s="120"/>
      <c r="C30" s="1" t="str">
        <f ca="1">OFFSET(C30,$D$3,0)</f>
        <v>Base</v>
      </c>
      <c r="D30" s="2"/>
      <c r="E30" s="2"/>
      <c r="F30" s="2"/>
      <c r="G30" s="2"/>
      <c r="H30" s="2"/>
      <c r="I30" s="51">
        <f ca="1">OFFSET(I30,$D$3,0)</f>
        <v>0.1845</v>
      </c>
      <c r="J30" s="51">
        <f ca="1">OFFSET(J30,$D$3,0)</f>
        <v>0.17269999999999999</v>
      </c>
      <c r="K30" s="51">
        <f ca="1">OFFSET(K30,$D$3,0)</f>
        <v>0.15190000000000001</v>
      </c>
      <c r="L30" s="51">
        <f ca="1">OFFSET(L30,$D$3,0)</f>
        <v>0.1389</v>
      </c>
      <c r="M30" s="51">
        <f ca="1">OFFSET(M30,$D$3,0)</f>
        <v>0.1303</v>
      </c>
    </row>
    <row r="31" spans="2:14" x14ac:dyDescent="0.3">
      <c r="B31" s="120">
        <v>0.7</v>
      </c>
      <c r="C31" s="14" t="s">
        <v>1</v>
      </c>
      <c r="D31" s="3"/>
      <c r="E31" s="3"/>
      <c r="F31" s="3"/>
      <c r="G31" s="3"/>
      <c r="H31" s="3"/>
      <c r="I31" s="100">
        <f>I32*$B31</f>
        <v>0.12914999999999999</v>
      </c>
      <c r="J31" s="100">
        <f t="shared" ref="J31" si="19">J32*$B31</f>
        <v>0.12088999999999998</v>
      </c>
      <c r="K31" s="100">
        <f t="shared" ref="K31" si="20">K32*$B31</f>
        <v>0.10632999999999999</v>
      </c>
      <c r="L31" s="100">
        <f t="shared" ref="L31" si="21">L32*$B31</f>
        <v>9.7229999999999997E-2</v>
      </c>
      <c r="M31" s="100">
        <f t="shared" ref="M31" si="22">M32*$B31</f>
        <v>9.1209999999999999E-2</v>
      </c>
      <c r="N31" s="1" t="s">
        <v>17</v>
      </c>
    </row>
    <row r="32" spans="2:14" x14ac:dyDescent="0.3">
      <c r="B32" s="120"/>
      <c r="C32" s="1" t="s">
        <v>2</v>
      </c>
      <c r="D32" s="15"/>
      <c r="E32" s="15">
        <f>'FCF Components'!D17</f>
        <v>0.21113607188703476</v>
      </c>
      <c r="F32" s="15">
        <f>'FCF Components'!E17</f>
        <v>0.24290521741434601</v>
      </c>
      <c r="G32" s="15">
        <f>'FCF Components'!F17</f>
        <v>0.19843943205560066</v>
      </c>
      <c r="H32" s="15">
        <f>'FCF Components'!G17</f>
        <v>0.22095919166044053</v>
      </c>
      <c r="I32" s="101">
        <v>0.1845</v>
      </c>
      <c r="J32" s="101">
        <v>0.17269999999999999</v>
      </c>
      <c r="K32" s="101">
        <v>0.15190000000000001</v>
      </c>
      <c r="L32" s="101">
        <v>0.1389</v>
      </c>
      <c r="M32" s="101">
        <v>0.1303</v>
      </c>
    </row>
    <row r="33" spans="2:14" x14ac:dyDescent="0.3">
      <c r="B33" s="120">
        <v>1.3</v>
      </c>
      <c r="C33" s="1" t="s">
        <v>3</v>
      </c>
      <c r="I33" s="101">
        <f>I32*$B33</f>
        <v>0.23985000000000001</v>
      </c>
      <c r="J33" s="101">
        <f t="shared" ref="J33" si="23">J32*$B33</f>
        <v>0.22450999999999999</v>
      </c>
      <c r="K33" s="101">
        <f t="shared" ref="K33" si="24">K32*$B33</f>
        <v>0.19747000000000001</v>
      </c>
      <c r="L33" s="101">
        <f t="shared" ref="L33" si="25">L32*$B33</f>
        <v>0.18057000000000001</v>
      </c>
      <c r="M33" s="101">
        <f t="shared" ref="M33" si="26">M32*$B33</f>
        <v>0.16939000000000001</v>
      </c>
      <c r="N33" s="1" t="s">
        <v>18</v>
      </c>
    </row>
    <row r="34" spans="2:14" x14ac:dyDescent="0.3">
      <c r="B34" s="120"/>
      <c r="C34" s="13"/>
      <c r="I34" s="37"/>
      <c r="J34" s="37"/>
      <c r="K34" s="37"/>
      <c r="L34" s="37"/>
      <c r="M34" s="37"/>
    </row>
    <row r="35" spans="2:14" x14ac:dyDescent="0.3">
      <c r="B35" s="120"/>
      <c r="C35" s="16" t="s">
        <v>19</v>
      </c>
      <c r="I35" s="37"/>
      <c r="J35" s="37"/>
      <c r="K35" s="37"/>
      <c r="L35" s="37"/>
      <c r="M35" s="37"/>
    </row>
    <row r="36" spans="2:14" x14ac:dyDescent="0.3">
      <c r="B36" s="120"/>
      <c r="C36" s="1" t="str">
        <f ca="1">OFFSET(C36,$D$3,0)</f>
        <v>Base</v>
      </c>
      <c r="D36" s="2"/>
      <c r="E36" s="2"/>
      <c r="F36" s="2"/>
      <c r="G36" s="2"/>
      <c r="H36" s="2"/>
      <c r="I36" s="51">
        <f ca="1">OFFSET(I36,$D$3,0)</f>
        <v>0.10340000000000001</v>
      </c>
      <c r="J36" s="51">
        <f ca="1">OFFSET(J36,$D$3,0)</f>
        <v>9.6799999999999997E-2</v>
      </c>
      <c r="K36" s="51">
        <f ca="1">OFFSET(K36,$D$3,0)</f>
        <v>8.9800000000000005E-2</v>
      </c>
      <c r="L36" s="51">
        <f ca="1">OFFSET(L36,$D$3,0)</f>
        <v>8.2699999999999996E-2</v>
      </c>
      <c r="M36" s="51">
        <f ca="1">OFFSET(M36,$D$3,0)</f>
        <v>7.9200000000000007E-2</v>
      </c>
    </row>
    <row r="37" spans="2:14" x14ac:dyDescent="0.3">
      <c r="B37" s="120">
        <v>0.7</v>
      </c>
      <c r="C37" s="14" t="s">
        <v>1</v>
      </c>
      <c r="D37" s="3"/>
      <c r="E37" s="3"/>
      <c r="F37" s="3"/>
      <c r="G37" s="3"/>
      <c r="H37" s="3"/>
      <c r="I37" s="100">
        <f>I38*$B37</f>
        <v>7.238E-2</v>
      </c>
      <c r="J37" s="100">
        <f t="shared" ref="J37" si="27">J38*$B37</f>
        <v>6.7759999999999987E-2</v>
      </c>
      <c r="K37" s="100">
        <f t="shared" ref="K37" si="28">K38*$B37</f>
        <v>6.2859999999999999E-2</v>
      </c>
      <c r="L37" s="100">
        <f t="shared" ref="L37" si="29">L38*$B37</f>
        <v>5.788999999999999E-2</v>
      </c>
      <c r="M37" s="100">
        <f t="shared" ref="M37" si="30">M38*$B37</f>
        <v>5.5440000000000003E-2</v>
      </c>
      <c r="N37" s="1" t="s">
        <v>20</v>
      </c>
    </row>
    <row r="38" spans="2:14" x14ac:dyDescent="0.3">
      <c r="B38" s="120"/>
      <c r="C38" s="1" t="s">
        <v>2</v>
      </c>
      <c r="D38" s="15"/>
      <c r="E38" s="15">
        <f>'FCF Components'!D20</f>
        <v>0.10859984890455809</v>
      </c>
      <c r="F38" s="15">
        <f>'FCF Components'!E20</f>
        <v>0.14171730365154178</v>
      </c>
      <c r="G38" s="15">
        <f>'FCF Components'!F20</f>
        <v>0.10358377477679137</v>
      </c>
      <c r="H38" s="15">
        <f>'FCF Components'!G20</f>
        <v>0.11819984675710993</v>
      </c>
      <c r="I38" s="101">
        <v>0.10340000000000001</v>
      </c>
      <c r="J38" s="101">
        <v>9.6799999999999997E-2</v>
      </c>
      <c r="K38" s="101">
        <v>8.9800000000000005E-2</v>
      </c>
      <c r="L38" s="101">
        <v>8.2699999999999996E-2</v>
      </c>
      <c r="M38" s="101">
        <v>7.9200000000000007E-2</v>
      </c>
    </row>
    <row r="39" spans="2:14" x14ac:dyDescent="0.3">
      <c r="B39" s="120">
        <v>1.3</v>
      </c>
      <c r="C39" s="1" t="s">
        <v>3</v>
      </c>
      <c r="I39" s="101">
        <f>I38*$B39</f>
        <v>0.13442000000000001</v>
      </c>
      <c r="J39" s="101">
        <f t="shared" ref="J39" si="31">J38*$B39</f>
        <v>0.12584000000000001</v>
      </c>
      <c r="K39" s="101">
        <f t="shared" ref="K39" si="32">K38*$B39</f>
        <v>0.11674000000000001</v>
      </c>
      <c r="L39" s="101">
        <f t="shared" ref="L39" si="33">L38*$B39</f>
        <v>0.10750999999999999</v>
      </c>
      <c r="M39" s="101">
        <f t="shared" ref="M39" si="34">M38*$B39</f>
        <v>0.10296000000000001</v>
      </c>
      <c r="N39" s="1" t="s">
        <v>21</v>
      </c>
    </row>
    <row r="40" spans="2:14" x14ac:dyDescent="0.3">
      <c r="B40" s="120"/>
      <c r="C40" s="13"/>
      <c r="I40" s="37"/>
      <c r="J40" s="37"/>
      <c r="K40" s="37"/>
      <c r="L40" s="37"/>
      <c r="M40" s="37"/>
    </row>
    <row r="41" spans="2:14" x14ac:dyDescent="0.3">
      <c r="B41" s="120"/>
      <c r="C41" s="16" t="s">
        <v>22</v>
      </c>
      <c r="I41" s="37"/>
      <c r="J41" s="37"/>
      <c r="K41" s="37"/>
      <c r="L41" s="37"/>
      <c r="M41" s="37"/>
    </row>
    <row r="42" spans="2:14" x14ac:dyDescent="0.3">
      <c r="B42" s="120"/>
      <c r="C42" s="1" t="str">
        <f ca="1">OFFSET(C42,$D$3,0)</f>
        <v>Base</v>
      </c>
      <c r="D42" s="2"/>
      <c r="E42" s="2"/>
      <c r="F42" s="2"/>
      <c r="G42" s="2"/>
      <c r="H42" s="2"/>
      <c r="I42" s="51">
        <f ca="1">OFFSET(I42,$D$3,0)</f>
        <v>0.24429999999999999</v>
      </c>
      <c r="J42" s="51">
        <f ca="1">OFFSET(J42,$D$3,0)</f>
        <v>0.22889999999999999</v>
      </c>
      <c r="K42" s="51">
        <f ca="1">OFFSET(K42,$D$3,0)</f>
        <v>0.22409999999999999</v>
      </c>
      <c r="L42" s="51">
        <f ca="1">OFFSET(L42,$D$3,0)</f>
        <v>0.18690000000000001</v>
      </c>
      <c r="M42" s="51">
        <f ca="1">OFFSET(M42,$D$3,0)</f>
        <v>0.16889999999999999</v>
      </c>
    </row>
    <row r="43" spans="2:14" x14ac:dyDescent="0.3">
      <c r="B43" s="120">
        <v>0.75</v>
      </c>
      <c r="C43" s="14" t="s">
        <v>1</v>
      </c>
      <c r="D43" s="3"/>
      <c r="E43" s="3"/>
      <c r="F43" s="3"/>
      <c r="G43" s="3"/>
      <c r="H43" s="3"/>
      <c r="I43" s="100">
        <f>I44*$B43</f>
        <v>0.183225</v>
      </c>
      <c r="J43" s="100">
        <f t="shared" ref="J43" si="35">J44*$B43</f>
        <v>0.17167499999999999</v>
      </c>
      <c r="K43" s="100">
        <f t="shared" ref="K43" si="36">K44*$B43</f>
        <v>0.168075</v>
      </c>
      <c r="L43" s="100">
        <f t="shared" ref="L43" si="37">L44*$B43</f>
        <v>0.14017499999999999</v>
      </c>
      <c r="M43" s="100">
        <f t="shared" ref="M43" si="38">M44*$B43</f>
        <v>0.12667499999999998</v>
      </c>
      <c r="N43" s="1" t="s">
        <v>23</v>
      </c>
    </row>
    <row r="44" spans="2:14" x14ac:dyDescent="0.3">
      <c r="B44" s="120"/>
      <c r="C44" s="1" t="s">
        <v>2</v>
      </c>
      <c r="D44" s="15"/>
      <c r="E44" s="15">
        <f>'FCF Components'!D23</f>
        <v>0.28767563743931057</v>
      </c>
      <c r="F44" s="15">
        <f>'FCF Components'!E23</f>
        <v>0.13310277666799841</v>
      </c>
      <c r="G44" s="15">
        <f>'FCF Components'!F23</f>
        <v>0.18509867007503544</v>
      </c>
      <c r="H44" s="15">
        <f>'FCF Components'!G23</f>
        <v>0.19681840157685304</v>
      </c>
      <c r="I44" s="101">
        <v>0.24429999999999999</v>
      </c>
      <c r="J44" s="101">
        <v>0.22889999999999999</v>
      </c>
      <c r="K44" s="101">
        <v>0.22409999999999999</v>
      </c>
      <c r="L44" s="101">
        <v>0.18690000000000001</v>
      </c>
      <c r="M44" s="101">
        <v>0.16889999999999999</v>
      </c>
    </row>
    <row r="45" spans="2:14" x14ac:dyDescent="0.3">
      <c r="B45" s="120">
        <v>1.1499999999999999</v>
      </c>
      <c r="C45" s="1" t="s">
        <v>3</v>
      </c>
      <c r="I45" s="101">
        <f>I44*$B45</f>
        <v>0.28094499999999994</v>
      </c>
      <c r="J45" s="101">
        <f t="shared" ref="J45" si="39">J44*$B45</f>
        <v>0.263235</v>
      </c>
      <c r="K45" s="101">
        <f t="shared" ref="K45" si="40">K44*$B45</f>
        <v>0.25771499999999997</v>
      </c>
      <c r="L45" s="101">
        <f t="shared" ref="L45" si="41">L44*$B45</f>
        <v>0.21493499999999999</v>
      </c>
      <c r="M45" s="101">
        <f t="shared" ref="M45" si="42">M44*$B45</f>
        <v>0.19423499999999999</v>
      </c>
      <c r="N45" s="1" t="s">
        <v>24</v>
      </c>
    </row>
    <row r="46" spans="2:14" x14ac:dyDescent="0.3">
      <c r="B46" s="120"/>
      <c r="C46" s="13"/>
      <c r="I46" s="37"/>
      <c r="J46" s="37"/>
      <c r="K46" s="37"/>
      <c r="L46" s="37"/>
      <c r="M46" s="37"/>
    </row>
    <row r="47" spans="2:14" x14ac:dyDescent="0.3">
      <c r="B47" s="120"/>
      <c r="C47" s="16" t="s">
        <v>25</v>
      </c>
      <c r="I47" s="37"/>
      <c r="J47" s="37"/>
      <c r="K47" s="37"/>
      <c r="L47" s="37"/>
      <c r="M47" s="37"/>
    </row>
    <row r="48" spans="2:14" x14ac:dyDescent="0.3">
      <c r="B48" s="120"/>
      <c r="C48" s="1" t="str">
        <f ca="1">OFFSET(C48,$D$3,0)</f>
        <v>Base</v>
      </c>
      <c r="D48" s="2"/>
      <c r="E48" s="2"/>
      <c r="F48" s="2"/>
      <c r="G48" s="2"/>
      <c r="H48" s="2"/>
      <c r="I48" s="51">
        <f ca="1">OFFSET(I48,$D$3,0)</f>
        <v>0.04</v>
      </c>
      <c r="J48" s="51">
        <f ca="1">OFFSET(J48,$D$3,0)</f>
        <v>0.04</v>
      </c>
      <c r="K48" s="51">
        <f ca="1">OFFSET(K48,$D$3,0)</f>
        <v>0.04</v>
      </c>
      <c r="L48" s="51">
        <f ca="1">OFFSET(L48,$D$3,0)</f>
        <v>0.04</v>
      </c>
      <c r="M48" s="51">
        <f ca="1">OFFSET(M48,$D$3,0)</f>
        <v>0.04</v>
      </c>
    </row>
    <row r="49" spans="2:14" x14ac:dyDescent="0.3">
      <c r="B49" s="120">
        <v>0.9</v>
      </c>
      <c r="C49" s="14" t="s">
        <v>1</v>
      </c>
      <c r="D49" s="3"/>
      <c r="E49" s="3"/>
      <c r="F49" s="3"/>
      <c r="G49" s="3"/>
      <c r="H49" s="3"/>
      <c r="I49" s="100">
        <f>I50*$B49</f>
        <v>3.6000000000000004E-2</v>
      </c>
      <c r="J49" s="100">
        <f t="shared" ref="J49" si="43">J50*$B49</f>
        <v>3.6000000000000004E-2</v>
      </c>
      <c r="K49" s="100">
        <f t="shared" ref="K49" si="44">K50*$B49</f>
        <v>3.6000000000000004E-2</v>
      </c>
      <c r="L49" s="100">
        <f t="shared" ref="L49" si="45">L50*$B49</f>
        <v>3.6000000000000004E-2</v>
      </c>
      <c r="M49" s="100">
        <f t="shared" ref="M49" si="46">M50*$B49</f>
        <v>3.6000000000000004E-2</v>
      </c>
      <c r="N49" s="1" t="s">
        <v>26</v>
      </c>
    </row>
    <row r="50" spans="2:14" x14ac:dyDescent="0.3">
      <c r="B50" s="120"/>
      <c r="C50" s="1" t="s">
        <v>2</v>
      </c>
      <c r="D50" s="15"/>
      <c r="E50" s="15">
        <f>'FCF Components'!D26</f>
        <v>0</v>
      </c>
      <c r="F50" s="15">
        <f>'FCF Components'!E26</f>
        <v>0.16741229102896171</v>
      </c>
      <c r="G50" s="15">
        <f>'FCF Components'!F26</f>
        <v>9.4191206131504668E-2</v>
      </c>
      <c r="H50" s="15">
        <f>'FCF Components'!G26</f>
        <v>9.4009216589861833E-2</v>
      </c>
      <c r="I50" s="101">
        <v>0.04</v>
      </c>
      <c r="J50" s="101">
        <v>0.04</v>
      </c>
      <c r="K50" s="101">
        <v>0.04</v>
      </c>
      <c r="L50" s="101">
        <v>0.04</v>
      </c>
      <c r="M50" s="101">
        <v>0.04</v>
      </c>
    </row>
    <row r="51" spans="2:14" x14ac:dyDescent="0.3">
      <c r="B51" s="120">
        <v>2.5</v>
      </c>
      <c r="C51" s="1" t="s">
        <v>3</v>
      </c>
      <c r="I51" s="101">
        <f>I50*$B51</f>
        <v>0.1</v>
      </c>
      <c r="J51" s="101">
        <f t="shared" ref="J51" si="47">J50*$B51</f>
        <v>0.1</v>
      </c>
      <c r="K51" s="101">
        <f t="shared" ref="K51" si="48">K50*$B51</f>
        <v>0.1</v>
      </c>
      <c r="L51" s="101">
        <f t="shared" ref="L51" si="49">L50*$B51</f>
        <v>0.1</v>
      </c>
      <c r="M51" s="101">
        <f t="shared" ref="M51" si="50">M50*$B51</f>
        <v>0.1</v>
      </c>
      <c r="N51" s="1" t="s">
        <v>27</v>
      </c>
    </row>
    <row r="52" spans="2:14" x14ac:dyDescent="0.3">
      <c r="B52" s="120"/>
      <c r="I52" s="37"/>
      <c r="J52" s="37"/>
      <c r="K52" s="37"/>
      <c r="L52" s="37"/>
      <c r="M52" s="37"/>
    </row>
    <row r="53" spans="2:14" x14ac:dyDescent="0.3">
      <c r="B53" s="120"/>
      <c r="C53" s="16" t="s">
        <v>28</v>
      </c>
      <c r="I53" s="37"/>
      <c r="J53" s="37"/>
      <c r="K53" s="37"/>
      <c r="L53" s="37"/>
      <c r="M53" s="37"/>
    </row>
    <row r="54" spans="2:14" x14ac:dyDescent="0.3">
      <c r="B54" s="120"/>
      <c r="C54" s="1" t="str">
        <f ca="1">OFFSET(C54,$D$3,0)</f>
        <v>Base</v>
      </c>
      <c r="D54" s="2"/>
      <c r="E54" s="2"/>
      <c r="F54" s="2"/>
      <c r="G54" s="2"/>
      <c r="H54" s="2"/>
      <c r="I54" s="51">
        <f ca="1">OFFSET(I54,$D$3,0)</f>
        <v>0.15208967474458465</v>
      </c>
      <c r="J54" s="51">
        <f ca="1">OFFSET(J54,$D$3,0)</f>
        <v>0.1494466104395214</v>
      </c>
      <c r="K54" s="51">
        <f ca="1">OFFSET(K54,$D$3,0)</f>
        <v>0.14643674482613514</v>
      </c>
      <c r="L54" s="51">
        <f ca="1">OFFSET(L54,$D$3,0)</f>
        <v>0.14185474492617853</v>
      </c>
      <c r="M54" s="51">
        <f ca="1">OFFSET(M54,$D$3,0)</f>
        <v>0.13765686910146124</v>
      </c>
    </row>
    <row r="55" spans="2:14" x14ac:dyDescent="0.3">
      <c r="B55" s="120">
        <v>1.05</v>
      </c>
      <c r="C55" s="14" t="s">
        <v>1</v>
      </c>
      <c r="D55" s="44"/>
      <c r="E55" s="44"/>
      <c r="F55" s="44"/>
      <c r="G55" s="44"/>
      <c r="H55" s="44"/>
      <c r="I55" s="100">
        <f>I56*$B55</f>
        <v>0.1596941584818139</v>
      </c>
      <c r="J55" s="100">
        <f t="shared" ref="J55" si="51">J56*$B55</f>
        <v>0.15691894096149747</v>
      </c>
      <c r="K55" s="100">
        <f t="shared" ref="K55" si="52">K56*$B55</f>
        <v>0.15375858206744189</v>
      </c>
      <c r="L55" s="100">
        <f t="shared" ref="L55" si="53">L56*$B55</f>
        <v>0.14894748217248746</v>
      </c>
      <c r="M55" s="100">
        <f t="shared" ref="M55" si="54">M56*$B55</f>
        <v>0.14453971255653431</v>
      </c>
    </row>
    <row r="56" spans="2:14" x14ac:dyDescent="0.3">
      <c r="B56" s="120"/>
      <c r="C56" s="1" t="s">
        <v>2</v>
      </c>
      <c r="D56" s="45">
        <f>'FCF Components'!C37/'FCF Components'!C28</f>
        <v>0.15987118525739535</v>
      </c>
      <c r="E56" s="45">
        <f>'FCF Components'!D37/'FCF Components'!D28</f>
        <v>0.16401126107283703</v>
      </c>
      <c r="F56" s="45">
        <f>'FCF Components'!E37/'FCF Components'!E28</f>
        <v>0.1576572109571405</v>
      </c>
      <c r="G56" s="45">
        <f>'FCF Components'!F37/'FCF Components'!F28</f>
        <v>0.15440647439725749</v>
      </c>
      <c r="H56" s="45">
        <f>'FCF Components'!G37/'FCF Components'!G28</f>
        <v>0.15214164960302626</v>
      </c>
      <c r="I56" s="101">
        <v>0.15208967474458465</v>
      </c>
      <c r="J56" s="101">
        <v>0.1494466104395214</v>
      </c>
      <c r="K56" s="101">
        <v>0.14643674482613514</v>
      </c>
      <c r="L56" s="101">
        <v>0.14185474492617853</v>
      </c>
      <c r="M56" s="101">
        <v>0.13765686910146124</v>
      </c>
    </row>
    <row r="57" spans="2:14" x14ac:dyDescent="0.3">
      <c r="B57" s="120">
        <v>0.95</v>
      </c>
      <c r="C57" s="1" t="s">
        <v>3</v>
      </c>
      <c r="D57" s="37"/>
      <c r="E57" s="37"/>
      <c r="F57" s="37"/>
      <c r="G57" s="37"/>
      <c r="H57" s="37"/>
      <c r="I57" s="101">
        <f>I56*$B57</f>
        <v>0.14448519100735541</v>
      </c>
      <c r="J57" s="101">
        <f t="shared" ref="J57" si="55">J56*$B57</f>
        <v>0.14197427991754533</v>
      </c>
      <c r="K57" s="101">
        <f t="shared" ref="K57" si="56">K56*$B57</f>
        <v>0.13911490758482839</v>
      </c>
      <c r="L57" s="101">
        <f t="shared" ref="L57" si="57">L56*$B57</f>
        <v>0.13476200767986959</v>
      </c>
      <c r="M57" s="101">
        <f t="shared" ref="M57" si="58">M56*$B57</f>
        <v>0.13077402564638818</v>
      </c>
    </row>
    <row r="58" spans="2:14" x14ac:dyDescent="0.3">
      <c r="B58" s="120"/>
      <c r="D58" s="37"/>
      <c r="E58" s="37"/>
      <c r="F58" s="37"/>
      <c r="G58" s="37"/>
      <c r="H58" s="37"/>
      <c r="I58" s="37"/>
      <c r="J58" s="37"/>
      <c r="K58" s="37"/>
      <c r="L58" s="37"/>
      <c r="M58" s="37"/>
    </row>
    <row r="59" spans="2:14" x14ac:dyDescent="0.3">
      <c r="B59" s="120"/>
      <c r="C59" s="16" t="s">
        <v>29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</row>
    <row r="60" spans="2:14" x14ac:dyDescent="0.3">
      <c r="B60" s="121"/>
      <c r="C60" s="1" t="str">
        <f ca="1">OFFSET(C60,$D$3,0)</f>
        <v>Base</v>
      </c>
      <c r="D60" s="46"/>
      <c r="E60" s="46"/>
      <c r="F60" s="46"/>
      <c r="G60" s="46"/>
      <c r="H60" s="46"/>
      <c r="I60" s="51">
        <f ca="1">OFFSET(I60,$D$3,0)</f>
        <v>0.15709999999999999</v>
      </c>
      <c r="J60" s="51">
        <f ca="1">OFFSET(J60,$D$3,0)</f>
        <v>0.1598</v>
      </c>
      <c r="K60" s="51">
        <f ca="1">OFFSET(K60,$D$3,0)</f>
        <v>0.1663</v>
      </c>
      <c r="L60" s="51">
        <f ca="1">OFFSET(L60,$D$3,0)</f>
        <v>0.16980000000000001</v>
      </c>
      <c r="M60" s="51">
        <f ca="1">OFFSET(M60,$D$3,0)</f>
        <v>0.1706</v>
      </c>
    </row>
    <row r="61" spans="2:14" x14ac:dyDescent="0.3">
      <c r="B61" s="120">
        <v>1.05</v>
      </c>
      <c r="C61" s="14" t="s">
        <v>1</v>
      </c>
      <c r="D61" s="44"/>
      <c r="E61" s="44"/>
      <c r="F61" s="44"/>
      <c r="G61" s="44"/>
      <c r="H61" s="44"/>
      <c r="I61" s="100">
        <f>I62*$B61</f>
        <v>0.16495499999999999</v>
      </c>
      <c r="J61" s="100">
        <f t="shared" ref="J61" si="59">J62*$B61</f>
        <v>0.16778999999999999</v>
      </c>
      <c r="K61" s="100">
        <f t="shared" ref="K61" si="60">K62*$B61</f>
        <v>0.17461500000000002</v>
      </c>
      <c r="L61" s="100">
        <f t="shared" ref="L61" si="61">L62*$B61</f>
        <v>0.17829</v>
      </c>
      <c r="M61" s="100">
        <f t="shared" ref="M61" si="62">M62*$B61</f>
        <v>0.17913000000000001</v>
      </c>
    </row>
    <row r="62" spans="2:14" x14ac:dyDescent="0.3">
      <c r="B62" s="120"/>
      <c r="C62" s="1" t="s">
        <v>2</v>
      </c>
      <c r="D62" s="45">
        <f>'FCF Components'!C38/'FCF Components'!C28</f>
        <v>0.11930475797216818</v>
      </c>
      <c r="E62" s="45">
        <f>'FCF Components'!D38/'FCF Components'!D28</f>
        <v>0.14244245432241923</v>
      </c>
      <c r="F62" s="45">
        <f>'FCF Components'!E38/'FCF Components'!E28</f>
        <v>0.14896352549214054</v>
      </c>
      <c r="G62" s="45">
        <f>'FCF Components'!F38/'FCF Components'!F28</f>
        <v>0.13879261833440706</v>
      </c>
      <c r="H62" s="45">
        <f>'FCF Components'!G38/'FCF Components'!G28</f>
        <v>0.15137029866485149</v>
      </c>
      <c r="I62" s="101">
        <v>0.15709999999999999</v>
      </c>
      <c r="J62" s="101">
        <v>0.1598</v>
      </c>
      <c r="K62" s="101">
        <v>0.1663</v>
      </c>
      <c r="L62" s="101">
        <v>0.16980000000000001</v>
      </c>
      <c r="M62" s="101">
        <v>0.1706</v>
      </c>
    </row>
    <row r="63" spans="2:14" x14ac:dyDescent="0.3">
      <c r="B63" s="120">
        <v>0.95</v>
      </c>
      <c r="C63" s="1" t="s">
        <v>3</v>
      </c>
      <c r="D63" s="37"/>
      <c r="E63" s="37"/>
      <c r="F63" s="37"/>
      <c r="G63" s="37"/>
      <c r="H63" s="37"/>
      <c r="I63" s="101">
        <f>I62*$B63</f>
        <v>0.14924499999999999</v>
      </c>
      <c r="J63" s="101">
        <f t="shared" ref="J63" si="63">J62*$B63</f>
        <v>0.15181</v>
      </c>
      <c r="K63" s="101">
        <f t="shared" ref="K63" si="64">K62*$B63</f>
        <v>0.15798499999999999</v>
      </c>
      <c r="L63" s="101">
        <f t="shared" ref="L63" si="65">L62*$B63</f>
        <v>0.16131000000000001</v>
      </c>
      <c r="M63" s="101">
        <f t="shared" ref="M63" si="66">M62*$B63</f>
        <v>0.16206999999999999</v>
      </c>
    </row>
    <row r="64" spans="2:14" x14ac:dyDescent="0.3">
      <c r="B64" s="120"/>
      <c r="D64" s="37"/>
      <c r="E64" s="37"/>
      <c r="F64" s="37"/>
      <c r="G64" s="37"/>
      <c r="H64" s="37"/>
      <c r="I64" s="37"/>
      <c r="J64" s="37"/>
      <c r="K64" s="37"/>
      <c r="L64" s="37"/>
      <c r="M64" s="37"/>
    </row>
    <row r="65" spans="2:13" x14ac:dyDescent="0.3">
      <c r="B65" s="120"/>
      <c r="C65" s="16" t="s">
        <v>30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</row>
    <row r="66" spans="2:13" x14ac:dyDescent="0.3">
      <c r="B66" s="120"/>
      <c r="C66" s="1" t="str">
        <f ca="1">OFFSET(C66,$D$3,0)</f>
        <v>Base</v>
      </c>
      <c r="D66" s="46"/>
      <c r="E66" s="46"/>
      <c r="F66" s="46"/>
      <c r="G66" s="46"/>
      <c r="H66" s="46"/>
      <c r="I66" s="51">
        <f ca="1">OFFSET(I66,$D$3,0)</f>
        <v>6.5100000000000005E-2</v>
      </c>
      <c r="J66" s="51">
        <f ca="1">OFFSET(J66,$D$3,0)</f>
        <v>6.4500000000000002E-2</v>
      </c>
      <c r="K66" s="51">
        <f ca="1">OFFSET(K66,$D$3,0)</f>
        <v>6.2700000000000006E-2</v>
      </c>
      <c r="L66" s="51">
        <f ca="1">OFFSET(L66,$D$3,0)</f>
        <v>6.0699999999999997E-2</v>
      </c>
      <c r="M66" s="51">
        <f ca="1">OFFSET(M66,$D$3,0)</f>
        <v>5.9200000000000003E-2</v>
      </c>
    </row>
    <row r="67" spans="2:13" x14ac:dyDescent="0.3">
      <c r="B67" s="120">
        <v>1.05</v>
      </c>
      <c r="C67" s="14" t="s">
        <v>1</v>
      </c>
      <c r="D67" s="44"/>
      <c r="E67" s="44"/>
      <c r="F67" s="44"/>
      <c r="G67" s="44"/>
      <c r="H67" s="44"/>
      <c r="I67" s="100">
        <f>I68*$B67</f>
        <v>6.8355000000000013E-2</v>
      </c>
      <c r="J67" s="100">
        <f t="shared" ref="J67" si="67">J68*$B67</f>
        <v>6.7725000000000007E-2</v>
      </c>
      <c r="K67" s="100">
        <f t="shared" ref="K67" si="68">K68*$B67</f>
        <v>6.5835000000000005E-2</v>
      </c>
      <c r="L67" s="100">
        <f t="shared" ref="L67" si="69">L68*$B67</f>
        <v>6.3735E-2</v>
      </c>
      <c r="M67" s="100">
        <f t="shared" ref="M67" si="70">M68*$B67</f>
        <v>6.2160000000000007E-2</v>
      </c>
    </row>
    <row r="68" spans="2:13" x14ac:dyDescent="0.3">
      <c r="B68" s="120"/>
      <c r="C68" s="1" t="s">
        <v>2</v>
      </c>
      <c r="D68" s="45">
        <f>'FCF Components'!C39/'FCF Components'!C28</f>
        <v>6.9283686161993263E-2</v>
      </c>
      <c r="E68" s="45">
        <f>'FCF Components'!D39/'FCF Components'!D28</f>
        <v>8.2177815219569517E-2</v>
      </c>
      <c r="F68" s="45">
        <f>'FCF Components'!E39/'FCF Components'!E28</f>
        <v>7.7194081265168718E-2</v>
      </c>
      <c r="G68" s="45">
        <f>'FCF Components'!F39/'FCF Components'!F28</f>
        <v>6.8824172086293947E-2</v>
      </c>
      <c r="H68" s="45">
        <f>'FCF Components'!G39/'FCF Components'!G28</f>
        <v>6.5737790895548209E-2</v>
      </c>
      <c r="I68" s="101">
        <v>6.5100000000000005E-2</v>
      </c>
      <c r="J68" s="101">
        <v>6.4500000000000002E-2</v>
      </c>
      <c r="K68" s="101">
        <v>6.2700000000000006E-2</v>
      </c>
      <c r="L68" s="101">
        <v>6.0699999999999997E-2</v>
      </c>
      <c r="M68" s="101">
        <v>5.9200000000000003E-2</v>
      </c>
    </row>
    <row r="69" spans="2:13" x14ac:dyDescent="0.3">
      <c r="B69" s="120">
        <v>0.95</v>
      </c>
      <c r="C69" s="1" t="s">
        <v>3</v>
      </c>
      <c r="D69" s="37"/>
      <c r="E69" s="37"/>
      <c r="F69" s="37"/>
      <c r="G69" s="37"/>
      <c r="H69" s="37"/>
      <c r="I69" s="101">
        <f>I68*$B69</f>
        <v>6.1845000000000004E-2</v>
      </c>
      <c r="J69" s="101">
        <f t="shared" ref="J69:M69" si="71">J68*$B69</f>
        <v>6.1274999999999996E-2</v>
      </c>
      <c r="K69" s="101">
        <f t="shared" si="71"/>
        <v>5.9565E-2</v>
      </c>
      <c r="L69" s="101">
        <f t="shared" si="71"/>
        <v>5.7664999999999994E-2</v>
      </c>
      <c r="M69" s="101">
        <f t="shared" si="71"/>
        <v>5.6239999999999998E-2</v>
      </c>
    </row>
    <row r="70" spans="2:13" x14ac:dyDescent="0.3">
      <c r="B70" s="120"/>
      <c r="D70" s="37"/>
      <c r="E70" s="37"/>
      <c r="F70" s="37"/>
      <c r="G70" s="37"/>
      <c r="H70" s="37"/>
      <c r="I70" s="37"/>
      <c r="J70" s="37"/>
      <c r="K70" s="37"/>
      <c r="L70" s="37"/>
      <c r="M70" s="37"/>
    </row>
    <row r="71" spans="2:13" x14ac:dyDescent="0.3">
      <c r="B71" s="120"/>
      <c r="C71" s="16" t="s">
        <v>31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</row>
    <row r="72" spans="2:13" x14ac:dyDescent="0.3">
      <c r="B72" s="120"/>
      <c r="C72" s="1" t="str">
        <f ca="1">OFFSET(C72,$D$3,0)</f>
        <v>Base</v>
      </c>
      <c r="D72" s="46"/>
      <c r="E72" s="46"/>
      <c r="F72" s="46"/>
      <c r="G72" s="46"/>
      <c r="H72" s="46"/>
      <c r="I72" s="51">
        <f ca="1">OFFSET(I72,$D$3,0)</f>
        <v>1.5599999999999999E-2</v>
      </c>
      <c r="J72" s="51">
        <f ca="1">OFFSET(J72,$D$3,0)</f>
        <v>1.6E-2</v>
      </c>
      <c r="K72" s="51">
        <f ca="1">OFFSET(K72,$D$3,0)</f>
        <v>1.4800000000000001E-2</v>
      </c>
      <c r="L72" s="51">
        <f ca="1">OFFSET(L72,$D$3,0)</f>
        <v>1.38E-2</v>
      </c>
      <c r="M72" s="51">
        <f ca="1">OFFSET(M72,$D$3,0)</f>
        <v>1.3100000000000001E-2</v>
      </c>
    </row>
    <row r="73" spans="2:13" x14ac:dyDescent="0.3">
      <c r="B73" s="120">
        <v>1.1000000000000001</v>
      </c>
      <c r="C73" s="14" t="s">
        <v>1</v>
      </c>
      <c r="D73" s="44"/>
      <c r="E73" s="44"/>
      <c r="F73" s="44"/>
      <c r="G73" s="44"/>
      <c r="H73" s="44"/>
      <c r="I73" s="100">
        <f>I74*$B73</f>
        <v>1.7160000000000002E-2</v>
      </c>
      <c r="J73" s="100">
        <f t="shared" ref="J73" si="72">J74*$B73</f>
        <v>1.7600000000000001E-2</v>
      </c>
      <c r="K73" s="100">
        <f t="shared" ref="K73" si="73">K74*$B73</f>
        <v>1.6280000000000003E-2</v>
      </c>
      <c r="L73" s="100">
        <f t="shared" ref="L73" si="74">L74*$B73</f>
        <v>1.5180000000000001E-2</v>
      </c>
      <c r="M73" s="100">
        <f t="shared" ref="M73" si="75">M74*$B73</f>
        <v>1.4410000000000001E-2</v>
      </c>
    </row>
    <row r="74" spans="2:13" x14ac:dyDescent="0.3">
      <c r="B74" s="120"/>
      <c r="C74" s="1" t="s">
        <v>2</v>
      </c>
      <c r="D74" s="45">
        <f>'FCF Components'!C40/'FCF Components'!C28</f>
        <v>1.8779452643767215E-2</v>
      </c>
      <c r="E74" s="45">
        <f>'FCF Components'!D40/'FCF Components'!D28</f>
        <v>2.3135006410717866E-2</v>
      </c>
      <c r="F74" s="45">
        <f>'FCF Components'!E40/'FCF Components'!E28</f>
        <v>2.0557251841993092E-2</v>
      </c>
      <c r="G74" s="45">
        <f>'FCF Components'!F40/'FCF Components'!F28</f>
        <v>1.7805219457676748E-2</v>
      </c>
      <c r="H74" s="45">
        <f>'FCF Components'!G40/'FCF Components'!G28</f>
        <v>1.5583241738315358E-2</v>
      </c>
      <c r="I74" s="101">
        <v>1.5599999999999999E-2</v>
      </c>
      <c r="J74" s="101">
        <v>1.6E-2</v>
      </c>
      <c r="K74" s="101">
        <v>1.4800000000000001E-2</v>
      </c>
      <c r="L74" s="101">
        <v>1.38E-2</v>
      </c>
      <c r="M74" s="101">
        <v>1.3100000000000001E-2</v>
      </c>
    </row>
    <row r="75" spans="2:13" x14ac:dyDescent="0.3">
      <c r="B75" s="120">
        <v>0.9</v>
      </c>
      <c r="C75" s="1" t="s">
        <v>3</v>
      </c>
      <c r="D75" s="37"/>
      <c r="E75" s="37"/>
      <c r="F75" s="37"/>
      <c r="G75" s="37"/>
      <c r="H75" s="37"/>
      <c r="I75" s="101">
        <f>I74*$B75</f>
        <v>1.404E-2</v>
      </c>
      <c r="J75" s="101">
        <f t="shared" ref="J75" si="76">J74*$B75</f>
        <v>1.4400000000000001E-2</v>
      </c>
      <c r="K75" s="101">
        <f t="shared" ref="K75" si="77">K74*$B75</f>
        <v>1.332E-2</v>
      </c>
      <c r="L75" s="101">
        <f t="shared" ref="L75" si="78">L74*$B75</f>
        <v>1.242E-2</v>
      </c>
      <c r="M75" s="101">
        <f t="shared" ref="M75" si="79">M74*$B75</f>
        <v>1.179E-2</v>
      </c>
    </row>
    <row r="76" spans="2:13" x14ac:dyDescent="0.3">
      <c r="B76" s="120"/>
      <c r="D76" s="37"/>
      <c r="E76" s="37"/>
      <c r="F76" s="37"/>
      <c r="G76" s="37"/>
      <c r="H76" s="37"/>
      <c r="I76" s="37"/>
      <c r="J76" s="37"/>
      <c r="K76" s="37"/>
      <c r="L76" s="37"/>
      <c r="M76" s="37"/>
    </row>
    <row r="77" spans="2:13" x14ac:dyDescent="0.3">
      <c r="B77" s="120"/>
      <c r="C77" s="16" t="s">
        <v>32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</row>
    <row r="78" spans="2:13" x14ac:dyDescent="0.3">
      <c r="B78" s="120"/>
      <c r="C78" s="1" t="str">
        <f ca="1">OFFSET(C78,$D$3,0)</f>
        <v>Base</v>
      </c>
      <c r="D78" s="46"/>
      <c r="E78" s="46"/>
      <c r="F78" s="46"/>
      <c r="G78" s="46"/>
      <c r="H78" s="46"/>
      <c r="I78" s="51">
        <f ca="1">OFFSET(I78,$D$3,0)</f>
        <v>1.9144868232579913E-3</v>
      </c>
      <c r="J78" s="51">
        <f ca="1">OFFSET(J78,$D$3,0)</f>
        <v>1.8627751975863614E-3</v>
      </c>
      <c r="K78" s="51">
        <f ca="1">OFFSET(K78,$D$3,0)</f>
        <v>2.0050419847894166E-3</v>
      </c>
      <c r="L78" s="51">
        <f ca="1">OFFSET(L78,$D$3,0)</f>
        <v>2.0336230626897597E-3</v>
      </c>
      <c r="M78" s="51">
        <f ca="1">OFFSET(M78,$D$3,0)</f>
        <v>2E-3</v>
      </c>
    </row>
    <row r="79" spans="2:13" x14ac:dyDescent="0.3">
      <c r="B79" s="120">
        <v>1.5</v>
      </c>
      <c r="C79" s="14" t="s">
        <v>1</v>
      </c>
      <c r="D79" s="44"/>
      <c r="E79" s="44"/>
      <c r="F79" s="44"/>
      <c r="G79" s="44"/>
      <c r="H79" s="44"/>
      <c r="I79" s="100">
        <f>I80*$B79</f>
        <v>2.8717302348869869E-3</v>
      </c>
      <c r="J79" s="100">
        <f t="shared" ref="J79" si="80">J80*$B79</f>
        <v>2.7941627963795424E-3</v>
      </c>
      <c r="K79" s="100">
        <f t="shared" ref="K79" si="81">K80*$B79</f>
        <v>3.0075629771841249E-3</v>
      </c>
      <c r="L79" s="100">
        <f t="shared" ref="L79" si="82">L80*$B79</f>
        <v>3.0504345940346395E-3</v>
      </c>
      <c r="M79" s="100">
        <f t="shared" ref="M79" si="83">M80*$B79</f>
        <v>3.0000000000000001E-3</v>
      </c>
    </row>
    <row r="80" spans="2:13" x14ac:dyDescent="0.3">
      <c r="B80" s="120"/>
      <c r="C80" s="1" t="s">
        <v>2</v>
      </c>
      <c r="D80" s="45">
        <f>'FCF Components'!C41/'FCF Components'!C28</f>
        <v>1.3196487180251244E-4</v>
      </c>
      <c r="E80" s="45">
        <f>'FCF Components'!D41/'FCF Components'!D28</f>
        <v>2.4572797154769712E-3</v>
      </c>
      <c r="F80" s="45">
        <f>'FCF Components'!E41/'FCF Components'!E28</f>
        <v>1.334411997529511E-3</v>
      </c>
      <c r="G80" s="45">
        <f>'FCF Components'!F41/'FCF Components'!F28</f>
        <v>1.1960016239288104E-3</v>
      </c>
      <c r="H80" s="45">
        <f>'FCF Components'!G41/'FCF Components'!G28</f>
        <v>6.470699823133275E-3</v>
      </c>
      <c r="I80" s="101">
        <v>1.9144868232579913E-3</v>
      </c>
      <c r="J80" s="101">
        <v>1.8627751975863614E-3</v>
      </c>
      <c r="K80" s="101">
        <v>2.0050419847894166E-3</v>
      </c>
      <c r="L80" s="101">
        <v>2.0336230626897597E-3</v>
      </c>
      <c r="M80" s="101">
        <v>2E-3</v>
      </c>
    </row>
    <row r="81" spans="2:13" x14ac:dyDescent="0.3">
      <c r="B81" s="120">
        <v>0.75</v>
      </c>
      <c r="C81" s="1" t="s">
        <v>3</v>
      </c>
      <c r="D81" s="37"/>
      <c r="E81" s="37"/>
      <c r="F81" s="37"/>
      <c r="G81" s="37"/>
      <c r="H81" s="37"/>
      <c r="I81" s="101">
        <f>I80*$B81</f>
        <v>1.4358651174434934E-3</v>
      </c>
      <c r="J81" s="101">
        <f t="shared" ref="J81" si="84">J80*$B81</f>
        <v>1.3970813981897712E-3</v>
      </c>
      <c r="K81" s="101">
        <f t="shared" ref="K81" si="85">K80*$B81</f>
        <v>1.5037814885920625E-3</v>
      </c>
      <c r="L81" s="101">
        <f t="shared" ref="L81" si="86">L80*$B81</f>
        <v>1.5252172970173197E-3</v>
      </c>
      <c r="M81" s="101">
        <f t="shared" ref="M81" si="87">M80*$B81</f>
        <v>1.5E-3</v>
      </c>
    </row>
    <row r="82" spans="2:13" x14ac:dyDescent="0.3">
      <c r="B82" s="120"/>
      <c r="D82" s="37"/>
      <c r="E82" s="37"/>
      <c r="F82" s="37"/>
      <c r="G82" s="37"/>
      <c r="H82" s="37"/>
      <c r="I82" s="37"/>
      <c r="J82" s="37"/>
      <c r="K82" s="37"/>
      <c r="L82" s="37"/>
      <c r="M82" s="37"/>
    </row>
    <row r="83" spans="2:13" x14ac:dyDescent="0.3">
      <c r="B83" s="120"/>
      <c r="C83" s="16" t="s">
        <v>33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</row>
    <row r="84" spans="2:13" x14ac:dyDescent="0.3">
      <c r="B84" s="120"/>
      <c r="C84" s="1" t="str">
        <f ca="1">OFFSET(C84,$D$3,0)</f>
        <v>Base</v>
      </c>
      <c r="D84" s="46"/>
      <c r="E84" s="46"/>
      <c r="F84" s="46"/>
      <c r="G84" s="46"/>
      <c r="H84" s="46"/>
      <c r="I84" s="51">
        <f ca="1">OFFSET(I84,$D$3,0)</f>
        <v>0.49099999999999999</v>
      </c>
      <c r="J84" s="51">
        <f ca="1">OFFSET(J84,$D$3,0)</f>
        <v>0.47949999999999998</v>
      </c>
      <c r="K84" s="51">
        <f ca="1">OFFSET(K84,$D$3,0)</f>
        <v>0.46150000000000002</v>
      </c>
      <c r="L84" s="51">
        <f ca="1">OFFSET(L84,$D$3,0)</f>
        <v>0.4582</v>
      </c>
      <c r="M84" s="51">
        <f ca="1">OFFSET(M84,$D$3,0)</f>
        <v>0.44779999999999998</v>
      </c>
    </row>
    <row r="85" spans="2:13" x14ac:dyDescent="0.3">
      <c r="B85" s="120">
        <v>1.05</v>
      </c>
      <c r="C85" s="14" t="s">
        <v>1</v>
      </c>
      <c r="D85" s="44"/>
      <c r="E85" s="44"/>
      <c r="F85" s="44"/>
      <c r="G85" s="44"/>
      <c r="H85" s="44"/>
      <c r="I85" s="100">
        <f>I86*$B85</f>
        <v>0.51555000000000006</v>
      </c>
      <c r="J85" s="100">
        <f t="shared" ref="J85" si="88">J86*$B85</f>
        <v>0.50347500000000001</v>
      </c>
      <c r="K85" s="100">
        <f t="shared" ref="K85" si="89">K86*$B85</f>
        <v>0.48457500000000003</v>
      </c>
      <c r="L85" s="100">
        <f t="shared" ref="L85" si="90">L86*$B85</f>
        <v>0.48111000000000004</v>
      </c>
      <c r="M85" s="100">
        <f t="shared" ref="M85" si="91">M86*$B85</f>
        <v>0.47019</v>
      </c>
    </row>
    <row r="86" spans="2:13" x14ac:dyDescent="0.3">
      <c r="B86" s="120"/>
      <c r="C86" s="1" t="s">
        <v>2</v>
      </c>
      <c r="D86" s="45">
        <f>'FCF Components'!C32</f>
        <v>0.57967485558360399</v>
      </c>
      <c r="E86" s="45">
        <f>'FCF Components'!D32</f>
        <v>0.56194660134673713</v>
      </c>
      <c r="F86" s="45">
        <f>'FCF Components'!E32</f>
        <v>0.53017911044999433</v>
      </c>
      <c r="G86" s="45">
        <f>'FCF Components'!F32</f>
        <v>0.51145606535843213</v>
      </c>
      <c r="H86" s="45">
        <f>'FCF Components'!G32</f>
        <v>0.49714335131757342</v>
      </c>
      <c r="I86" s="101">
        <v>0.49099999999999999</v>
      </c>
      <c r="J86" s="101">
        <v>0.47949999999999998</v>
      </c>
      <c r="K86" s="101">
        <v>0.46150000000000002</v>
      </c>
      <c r="L86" s="101">
        <v>0.4582</v>
      </c>
      <c r="M86" s="101">
        <v>0.44779999999999998</v>
      </c>
    </row>
    <row r="87" spans="2:13" x14ac:dyDescent="0.3">
      <c r="B87" s="120">
        <v>0.95</v>
      </c>
      <c r="C87" s="1" t="s">
        <v>3</v>
      </c>
      <c r="D87" s="37"/>
      <c r="E87" s="37"/>
      <c r="F87" s="37"/>
      <c r="G87" s="37"/>
      <c r="H87" s="37"/>
      <c r="I87" s="101">
        <f>I86*$B87</f>
        <v>0.46644999999999998</v>
      </c>
      <c r="J87" s="101">
        <f t="shared" ref="J87" si="92">J86*$B87</f>
        <v>0.45552499999999996</v>
      </c>
      <c r="K87" s="101">
        <f t="shared" ref="K87" si="93">K86*$B87</f>
        <v>0.43842500000000001</v>
      </c>
      <c r="L87" s="101">
        <f t="shared" ref="L87" si="94">L86*$B87</f>
        <v>0.43528999999999995</v>
      </c>
      <c r="M87" s="101">
        <f t="shared" ref="M87" si="95">M86*$B87</f>
        <v>0.42540999999999995</v>
      </c>
    </row>
    <row r="88" spans="2:13" x14ac:dyDescent="0.3">
      <c r="B88" s="120"/>
      <c r="D88" s="37"/>
      <c r="E88" s="37"/>
      <c r="F88" s="37"/>
      <c r="G88" s="37"/>
      <c r="H88" s="37"/>
      <c r="I88" s="37"/>
      <c r="J88" s="37"/>
      <c r="K88" s="37"/>
      <c r="L88" s="37"/>
      <c r="M88" s="37"/>
    </row>
    <row r="89" spans="2:13" x14ac:dyDescent="0.3">
      <c r="B89" s="120"/>
      <c r="C89" s="16" t="s">
        <v>34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</row>
    <row r="90" spans="2:13" x14ac:dyDescent="0.3">
      <c r="B90" s="120"/>
      <c r="C90" s="1" t="str">
        <f ca="1">OFFSET(C90,$D$3,0)</f>
        <v>Base</v>
      </c>
      <c r="D90" s="46"/>
      <c r="E90" s="46"/>
      <c r="F90" s="46"/>
      <c r="G90" s="46"/>
      <c r="H90" s="46"/>
      <c r="I90" s="51">
        <f ca="1">OFFSET(I90,$D$3,0)</f>
        <v>0.18190000000000001</v>
      </c>
      <c r="J90" s="51">
        <f ca="1">OFFSET(J90,$D$3,0)</f>
        <v>0.1812</v>
      </c>
      <c r="K90" s="51">
        <f ca="1">OFFSET(K90,$D$3,0)</f>
        <v>0.18290000000000001</v>
      </c>
      <c r="L90" s="51">
        <f ca="1">OFFSET(L90,$D$3,0)</f>
        <v>0.18060000000000001</v>
      </c>
      <c r="M90" s="51">
        <f ca="1">OFFSET(M90,$D$3,0)</f>
        <v>0.18060000000000001</v>
      </c>
    </row>
    <row r="91" spans="2:13" x14ac:dyDescent="0.3">
      <c r="B91" s="120">
        <v>1.1000000000000001</v>
      </c>
      <c r="C91" s="14" t="s">
        <v>1</v>
      </c>
      <c r="D91" s="44"/>
      <c r="E91" s="44"/>
      <c r="F91" s="44"/>
      <c r="G91" s="44"/>
      <c r="H91" s="44"/>
      <c r="I91" s="100">
        <f>I92*$B91</f>
        <v>0.20009000000000002</v>
      </c>
      <c r="J91" s="100">
        <f t="shared" ref="J91" si="96">J92*$B91</f>
        <v>0.19932000000000002</v>
      </c>
      <c r="K91" s="100">
        <f t="shared" ref="K91" si="97">K92*$B91</f>
        <v>0.20119000000000004</v>
      </c>
      <c r="L91" s="100">
        <f t="shared" ref="L91" si="98">L92*$B91</f>
        <v>0.19866000000000003</v>
      </c>
      <c r="M91" s="100">
        <f t="shared" ref="M91" si="99">M92*$B91</f>
        <v>0.19866000000000003</v>
      </c>
    </row>
    <row r="92" spans="2:13" x14ac:dyDescent="0.3">
      <c r="B92" s="120"/>
      <c r="C92" s="1" t="s">
        <v>2</v>
      </c>
      <c r="D92" s="45">
        <f>'FCF Components'!C52/'FCF Components'!C51</f>
        <v>0.12558322411533421</v>
      </c>
      <c r="E92" s="45">
        <f>'FCF Components'!D52/'FCF Components'!D51</f>
        <v>0.54194743935309975</v>
      </c>
      <c r="F92" s="45">
        <f>'FCF Components'!E52/'FCF Components'!E51</f>
        <v>0.18957850733551668</v>
      </c>
      <c r="G92" s="45">
        <f>'FCF Components'!F52/'FCF Components'!F51</f>
        <v>0.13503075174162707</v>
      </c>
      <c r="H92" s="45">
        <f>'FCF Components'!G52/'FCF Components'!G51</f>
        <v>0.19614432078593375</v>
      </c>
      <c r="I92" s="101">
        <v>0.18190000000000001</v>
      </c>
      <c r="J92" s="101">
        <v>0.1812</v>
      </c>
      <c r="K92" s="101">
        <v>0.18290000000000001</v>
      </c>
      <c r="L92" s="101">
        <v>0.18060000000000001</v>
      </c>
      <c r="M92" s="101">
        <v>0.18060000000000001</v>
      </c>
    </row>
    <row r="93" spans="2:13" x14ac:dyDescent="0.3">
      <c r="B93" s="120">
        <v>0.9</v>
      </c>
      <c r="C93" s="1" t="s">
        <v>3</v>
      </c>
      <c r="D93" s="37"/>
      <c r="E93" s="37"/>
      <c r="F93" s="37"/>
      <c r="G93" s="37"/>
      <c r="H93" s="37"/>
      <c r="I93" s="101">
        <f>I92*$B93</f>
        <v>0.16371000000000002</v>
      </c>
      <c r="J93" s="101">
        <f t="shared" ref="J93" si="100">J92*$B93</f>
        <v>0.16308</v>
      </c>
      <c r="K93" s="101">
        <f t="shared" ref="K93" si="101">K92*$B93</f>
        <v>0.16461000000000001</v>
      </c>
      <c r="L93" s="101">
        <f t="shared" ref="L93" si="102">L92*$B93</f>
        <v>0.16254000000000002</v>
      </c>
      <c r="M93" s="101">
        <f t="shared" ref="M93" si="103">M92*$B93</f>
        <v>0.16254000000000002</v>
      </c>
    </row>
    <row r="94" spans="2:13" x14ac:dyDescent="0.3">
      <c r="B94" s="120"/>
      <c r="D94" s="37"/>
      <c r="E94" s="37"/>
      <c r="F94" s="37"/>
      <c r="G94" s="37"/>
      <c r="H94" s="37"/>
      <c r="I94" s="37"/>
      <c r="J94" s="37"/>
      <c r="K94" s="37"/>
      <c r="L94" s="37"/>
      <c r="M94" s="37"/>
    </row>
    <row r="95" spans="2:13" x14ac:dyDescent="0.3">
      <c r="B95" s="120"/>
      <c r="C95" s="36" t="s">
        <v>35</v>
      </c>
      <c r="D95" s="47"/>
      <c r="E95" s="47"/>
      <c r="F95" s="47"/>
      <c r="G95" s="47"/>
      <c r="H95" s="47"/>
      <c r="I95" s="47"/>
      <c r="J95" s="47"/>
      <c r="K95" s="47"/>
      <c r="L95" s="47"/>
      <c r="M95" s="47"/>
    </row>
    <row r="96" spans="2:13" x14ac:dyDescent="0.3">
      <c r="B96" s="120"/>
      <c r="C96" s="11" t="s">
        <v>2</v>
      </c>
      <c r="D96" s="48"/>
      <c r="E96" s="48"/>
      <c r="F96" s="48"/>
      <c r="G96" s="48"/>
      <c r="H96" s="48"/>
      <c r="I96" s="47">
        <v>0</v>
      </c>
      <c r="J96" s="47">
        <v>0</v>
      </c>
      <c r="K96" s="47">
        <v>0</v>
      </c>
      <c r="L96" s="47">
        <v>0</v>
      </c>
      <c r="M96" s="47">
        <v>0</v>
      </c>
    </row>
    <row r="97" spans="2:13" x14ac:dyDescent="0.3">
      <c r="B97" s="120">
        <v>1.1499999999999999</v>
      </c>
      <c r="C97" s="14" t="s">
        <v>1</v>
      </c>
      <c r="D97" s="49"/>
      <c r="E97" s="49"/>
      <c r="F97" s="49"/>
      <c r="G97" s="49"/>
      <c r="H97" s="49"/>
      <c r="I97" s="100">
        <f>I98*$B97</f>
        <v>0.27599999999999997</v>
      </c>
      <c r="J97" s="100">
        <f t="shared" ref="J97" si="104">J98*$B97</f>
        <v>0.22999999999999998</v>
      </c>
      <c r="K97" s="100">
        <f t="shared" ref="K97" si="105">K98*$B97</f>
        <v>0.20699999999999999</v>
      </c>
      <c r="L97" s="100">
        <f t="shared" ref="L97" si="106">L98*$B97</f>
        <v>0.17249999999999999</v>
      </c>
      <c r="M97" s="100">
        <f t="shared" ref="M97" si="107">M98*$B97</f>
        <v>0.17249999999999999</v>
      </c>
    </row>
    <row r="98" spans="2:13" x14ac:dyDescent="0.3">
      <c r="B98" s="120"/>
      <c r="C98" s="11" t="s">
        <v>2</v>
      </c>
      <c r="D98" s="50">
        <f>'FCF Components'!C62/'FCF Components'!C28</f>
        <v>0.11790848448987064</v>
      </c>
      <c r="E98" s="50">
        <f>'FCF Components'!D62/'FCF Components'!D28</f>
        <v>0.11346873340168838</v>
      </c>
      <c r="F98" s="50">
        <f>'FCF Components'!E62/'FCF Components'!E28</f>
        <v>8.3740877023582724E-2</v>
      </c>
      <c r="G98" s="50">
        <f>'FCF Components'!F62/'FCF Components'!F28</f>
        <v>0.12172882583363508</v>
      </c>
      <c r="H98" s="50">
        <f>'FCF Components'!G62/'FCF Components'!G28</f>
        <v>0.17898689400829099</v>
      </c>
      <c r="I98" s="52">
        <v>0.24</v>
      </c>
      <c r="J98" s="52">
        <v>0.2</v>
      </c>
      <c r="K98" s="52">
        <v>0.18</v>
      </c>
      <c r="L98" s="52">
        <v>0.15</v>
      </c>
      <c r="M98" s="52">
        <v>0.15</v>
      </c>
    </row>
    <row r="99" spans="2:13" x14ac:dyDescent="0.3">
      <c r="B99" s="120">
        <v>0.8</v>
      </c>
      <c r="C99" s="11" t="s">
        <v>3</v>
      </c>
      <c r="D99" s="47"/>
      <c r="E99" s="47"/>
      <c r="F99" s="47"/>
      <c r="G99" s="47"/>
      <c r="H99" s="47"/>
      <c r="I99" s="101">
        <f>I98*$B99</f>
        <v>0.192</v>
      </c>
      <c r="J99" s="101">
        <f t="shared" ref="J99" si="108">J98*$B99</f>
        <v>0.16000000000000003</v>
      </c>
      <c r="K99" s="101">
        <f t="shared" ref="K99" si="109">K98*$B99</f>
        <v>0.14399999999999999</v>
      </c>
      <c r="L99" s="101">
        <f t="shared" ref="L99" si="110">L98*$B99</f>
        <v>0.12</v>
      </c>
      <c r="M99" s="101">
        <f t="shared" ref="M99" si="111">M98*$B99</f>
        <v>0.12</v>
      </c>
    </row>
    <row r="100" spans="2:13" x14ac:dyDescent="0.3">
      <c r="B100" s="120"/>
      <c r="D100" s="37"/>
      <c r="E100" s="37"/>
      <c r="F100" s="37"/>
      <c r="G100" s="37"/>
      <c r="H100" s="37"/>
      <c r="I100" s="37"/>
      <c r="J100" s="37"/>
      <c r="K100" s="37"/>
      <c r="L100" s="37"/>
      <c r="M100" s="37"/>
    </row>
    <row r="101" spans="2:13" x14ac:dyDescent="0.3">
      <c r="B101" s="120"/>
      <c r="C101" s="36" t="s">
        <v>36</v>
      </c>
      <c r="D101" s="47"/>
      <c r="E101" s="47"/>
      <c r="F101" s="47"/>
      <c r="G101" s="47"/>
      <c r="H101" s="47"/>
      <c r="I101" s="47"/>
      <c r="J101" s="47"/>
      <c r="K101" s="47"/>
      <c r="L101" s="47"/>
      <c r="M101" s="47"/>
    </row>
    <row r="102" spans="2:13" x14ac:dyDescent="0.3">
      <c r="B102" s="120"/>
      <c r="C102" s="11" t="s">
        <v>2</v>
      </c>
      <c r="D102" s="48"/>
      <c r="E102" s="48"/>
      <c r="F102" s="48"/>
      <c r="G102" s="48"/>
      <c r="H102" s="48"/>
      <c r="I102" s="47">
        <v>0</v>
      </c>
      <c r="J102" s="47">
        <v>0</v>
      </c>
      <c r="K102" s="47">
        <v>0</v>
      </c>
      <c r="L102" s="47">
        <v>0</v>
      </c>
      <c r="M102" s="47">
        <v>0</v>
      </c>
    </row>
    <row r="103" spans="2:13" x14ac:dyDescent="0.3">
      <c r="B103" s="120">
        <v>1.05</v>
      </c>
      <c r="C103" s="14" t="s">
        <v>1</v>
      </c>
      <c r="D103" s="49"/>
      <c r="E103" s="49"/>
      <c r="F103" s="49"/>
      <c r="G103" s="49"/>
      <c r="H103" s="49"/>
      <c r="I103" s="100">
        <f>I104*$B103</f>
        <v>0.36749999999999999</v>
      </c>
      <c r="J103" s="100">
        <f t="shared" ref="J103" si="112">J104*$B103</f>
        <v>0.36749999999999999</v>
      </c>
      <c r="K103" s="100">
        <f t="shared" ref="K103" si="113">K104*$B103</f>
        <v>0.36749999999999999</v>
      </c>
      <c r="L103" s="100">
        <f t="shared" ref="L103" si="114">L104*$B103</f>
        <v>0.36749999999999999</v>
      </c>
      <c r="M103" s="100">
        <f t="shared" ref="M103" si="115">M104*$B103</f>
        <v>0.36749999999999999</v>
      </c>
    </row>
    <row r="104" spans="2:13" x14ac:dyDescent="0.3">
      <c r="B104" s="120"/>
      <c r="C104" s="11" t="s">
        <v>2</v>
      </c>
      <c r="D104" s="50">
        <f>'FCF Components'!C59/'FCF Components'!C58</f>
        <v>0.32880653266331661</v>
      </c>
      <c r="E104" s="50">
        <f>'FCF Components'!D59/'FCF Components'!D58</f>
        <v>0.3419271842949283</v>
      </c>
      <c r="F104" s="50">
        <f>'FCF Components'!E59/'FCF Components'!E58</f>
        <v>0.37038373297809357</v>
      </c>
      <c r="G104" s="50">
        <f>'FCF Components'!F59/'FCF Components'!F58</f>
        <v>0.35880778063975843</v>
      </c>
      <c r="H104" s="50">
        <f>'FCF Components'!G59/'FCF Components'!G58</f>
        <v>0.33153653449366971</v>
      </c>
      <c r="I104" s="52">
        <v>0.35</v>
      </c>
      <c r="J104" s="52">
        <v>0.35</v>
      </c>
      <c r="K104" s="52">
        <v>0.35</v>
      </c>
      <c r="L104" s="52">
        <v>0.35</v>
      </c>
      <c r="M104" s="52">
        <v>0.35</v>
      </c>
    </row>
    <row r="105" spans="2:13" x14ac:dyDescent="0.3">
      <c r="B105" s="120">
        <v>0.95</v>
      </c>
      <c r="C105" s="11" t="s">
        <v>3</v>
      </c>
      <c r="D105" s="47"/>
      <c r="E105" s="47"/>
      <c r="F105" s="47"/>
      <c r="G105" s="47"/>
      <c r="H105" s="47"/>
      <c r="I105" s="101">
        <f>I104*$B105</f>
        <v>0.33249999999999996</v>
      </c>
      <c r="J105" s="101">
        <f t="shared" ref="J105" si="116">J104*$B105</f>
        <v>0.33249999999999996</v>
      </c>
      <c r="K105" s="101">
        <f t="shared" ref="K105" si="117">K104*$B105</f>
        <v>0.33249999999999996</v>
      </c>
      <c r="L105" s="101">
        <f t="shared" ref="L105" si="118">L104*$B105</f>
        <v>0.33249999999999996</v>
      </c>
      <c r="M105" s="101">
        <f t="shared" ref="M105" si="119">M104*$B105</f>
        <v>0.33249999999999996</v>
      </c>
    </row>
    <row r="106" spans="2:13" x14ac:dyDescent="0.3">
      <c r="B106" s="120"/>
      <c r="D106" s="37"/>
      <c r="E106" s="37"/>
      <c r="F106" s="37"/>
      <c r="G106" s="37"/>
      <c r="H106" s="37"/>
      <c r="I106" s="37"/>
      <c r="J106" s="37"/>
      <c r="K106" s="37"/>
      <c r="L106" s="37"/>
      <c r="M106" s="37"/>
    </row>
    <row r="107" spans="2:13" x14ac:dyDescent="0.3">
      <c r="B107" s="120"/>
      <c r="C107" s="36" t="s">
        <v>37</v>
      </c>
      <c r="D107" s="47"/>
      <c r="E107" s="47"/>
      <c r="F107" s="47"/>
      <c r="G107" s="47"/>
      <c r="H107" s="47"/>
      <c r="I107" s="47"/>
      <c r="J107" s="47"/>
      <c r="K107" s="47"/>
      <c r="L107" s="47"/>
      <c r="M107" s="47"/>
    </row>
    <row r="108" spans="2:13" x14ac:dyDescent="0.3">
      <c r="B108" s="120"/>
      <c r="C108" s="11" t="s">
        <v>2</v>
      </c>
      <c r="D108" s="48"/>
      <c r="E108" s="48"/>
      <c r="F108" s="48"/>
      <c r="G108" s="48"/>
      <c r="H108" s="48"/>
      <c r="I108" s="47">
        <v>0</v>
      </c>
      <c r="J108" s="47">
        <v>0</v>
      </c>
      <c r="K108" s="47">
        <v>0</v>
      </c>
      <c r="L108" s="47">
        <v>0</v>
      </c>
      <c r="M108" s="47">
        <v>0</v>
      </c>
    </row>
    <row r="109" spans="2:13" x14ac:dyDescent="0.3">
      <c r="B109" s="120">
        <v>1.05</v>
      </c>
      <c r="C109" s="14" t="s">
        <v>1</v>
      </c>
      <c r="D109" s="49"/>
      <c r="E109" s="49"/>
      <c r="F109" s="49"/>
      <c r="G109" s="49"/>
      <c r="H109" s="49"/>
      <c r="I109" s="100">
        <f>I110*$B109</f>
        <v>9.6915000000000001E-2</v>
      </c>
      <c r="J109" s="100">
        <f t="shared" ref="J109" si="120">J110*$B109</f>
        <v>9.6075000000000008E-2</v>
      </c>
      <c r="K109" s="100">
        <f t="shared" ref="K109" si="121">K110*$B109</f>
        <v>9.912E-2</v>
      </c>
      <c r="L109" s="100">
        <f t="shared" ref="L109" si="122">L110*$B109</f>
        <v>9.4500000000000001E-2</v>
      </c>
      <c r="M109" s="100">
        <f t="shared" ref="M109" si="123">M110*$B109</f>
        <v>9.3450000000000005E-2</v>
      </c>
    </row>
    <row r="110" spans="2:13" x14ac:dyDescent="0.3">
      <c r="B110" s="120"/>
      <c r="C110" s="11" t="s">
        <v>2</v>
      </c>
      <c r="D110" s="50">
        <f>'FCF Components'!C72/'FCF Components'!C28</f>
        <v>7.0007364491232849E-2</v>
      </c>
      <c r="E110" s="50">
        <f>'FCF Components'!D72/'FCF Components'!D28</f>
        <v>8.2415177155664682E-2</v>
      </c>
      <c r="F110" s="50">
        <f>'FCF Components'!E72/'FCF Components'!E28</f>
        <v>9.0908774585279711E-2</v>
      </c>
      <c r="G110" s="50">
        <f>'FCF Components'!F72/'FCF Components'!F28</f>
        <v>8.6919378831555011E-2</v>
      </c>
      <c r="H110" s="50">
        <f>'FCF Components'!G72/'FCF Components'!G28</f>
        <v>9.4471659478550032E-2</v>
      </c>
      <c r="I110" s="52">
        <v>9.2299999999999993E-2</v>
      </c>
      <c r="J110" s="52">
        <v>9.1499999999999998E-2</v>
      </c>
      <c r="K110" s="52">
        <v>9.4399999999999998E-2</v>
      </c>
      <c r="L110" s="52">
        <v>0.09</v>
      </c>
      <c r="M110" s="52">
        <v>8.8999999999999996E-2</v>
      </c>
    </row>
    <row r="111" spans="2:13" x14ac:dyDescent="0.3">
      <c r="B111" s="120">
        <v>0.95</v>
      </c>
      <c r="C111" s="11" t="s">
        <v>3</v>
      </c>
      <c r="D111" s="47"/>
      <c r="E111" s="47"/>
      <c r="F111" s="47"/>
      <c r="G111" s="47"/>
      <c r="H111" s="47">
        <v>5.3499999999999999E-2</v>
      </c>
      <c r="I111" s="101">
        <f>I110*$B111</f>
        <v>8.7684999999999985E-2</v>
      </c>
      <c r="J111" s="101">
        <f t="shared" ref="J111" si="124">J110*$B111</f>
        <v>8.6924999999999988E-2</v>
      </c>
      <c r="K111" s="101">
        <f t="shared" ref="K111" si="125">K110*$B111</f>
        <v>8.9679999999999996E-2</v>
      </c>
      <c r="L111" s="101">
        <f t="shared" ref="L111" si="126">L110*$B111</f>
        <v>8.5499999999999993E-2</v>
      </c>
      <c r="M111" s="101">
        <f t="shared" ref="M111" si="127">M110*$B111</f>
        <v>8.4549999999999986E-2</v>
      </c>
    </row>
    <row r="112" spans="2:13" x14ac:dyDescent="0.3">
      <c r="B112" s="120"/>
      <c r="D112" s="37"/>
      <c r="E112" s="37"/>
      <c r="F112" s="37"/>
      <c r="G112" s="37"/>
      <c r="H112" s="37"/>
      <c r="I112" s="37"/>
      <c r="J112" s="37"/>
      <c r="K112" s="37"/>
      <c r="L112" s="37"/>
      <c r="M112" s="37"/>
    </row>
    <row r="113" spans="2:13" x14ac:dyDescent="0.3">
      <c r="B113" s="120"/>
      <c r="C113" s="36" t="s">
        <v>38</v>
      </c>
      <c r="D113" s="47"/>
      <c r="E113" s="47"/>
      <c r="F113" s="47"/>
      <c r="G113" s="47"/>
      <c r="H113" s="47"/>
      <c r="I113" s="47"/>
      <c r="J113" s="47"/>
      <c r="K113" s="47"/>
      <c r="L113" s="47"/>
      <c r="M113" s="47"/>
    </row>
    <row r="114" spans="2:13" x14ac:dyDescent="0.3">
      <c r="B114" s="120"/>
      <c r="C114" s="11" t="s">
        <v>2</v>
      </c>
      <c r="D114" s="48"/>
      <c r="E114" s="48"/>
      <c r="F114" s="48"/>
      <c r="G114" s="48"/>
      <c r="H114" s="48"/>
      <c r="I114" s="47">
        <v>0</v>
      </c>
      <c r="J114" s="47">
        <v>0</v>
      </c>
      <c r="K114" s="47">
        <v>0</v>
      </c>
      <c r="L114" s="47">
        <v>0</v>
      </c>
      <c r="M114" s="47">
        <v>0</v>
      </c>
    </row>
    <row r="115" spans="2:13" x14ac:dyDescent="0.3">
      <c r="B115" s="120">
        <v>1.05</v>
      </c>
      <c r="C115" s="14" t="s">
        <v>1</v>
      </c>
      <c r="D115" s="49"/>
      <c r="E115" s="49"/>
      <c r="F115" s="49"/>
      <c r="G115" s="49"/>
      <c r="H115" s="49"/>
      <c r="I115" s="100">
        <f>I116*$B115</f>
        <v>5.5545000000000004E-2</v>
      </c>
      <c r="J115" s="100">
        <f t="shared" ref="J115" si="128">J116*$B115</f>
        <v>5.3865000000000003E-2</v>
      </c>
      <c r="K115" s="100">
        <f t="shared" ref="K115" si="129">K116*$B115</f>
        <v>5.2815000000000001E-2</v>
      </c>
      <c r="L115" s="100">
        <f t="shared" ref="L115" si="130">L116*$B115</f>
        <v>5.1450000000000003E-2</v>
      </c>
      <c r="M115" s="100">
        <f t="shared" ref="M115" si="131">M116*$B115</f>
        <v>5.0190000000000005E-2</v>
      </c>
    </row>
    <row r="116" spans="2:13" x14ac:dyDescent="0.3">
      <c r="B116" s="120"/>
      <c r="C116" s="11" t="s">
        <v>2</v>
      </c>
      <c r="D116" s="50">
        <f>'FCF Components'!C73/'FCF Components'!C28</f>
        <v>6.9473119607000103E-2</v>
      </c>
      <c r="E116" s="50">
        <f>'FCF Components'!D73/'FCF Components'!D28</f>
        <v>6.6938011568475994E-2</v>
      </c>
      <c r="F116" s="50">
        <f>'FCF Components'!E73/'FCF Components'!E28</f>
        <v>5.7966022077820402E-2</v>
      </c>
      <c r="G116" s="50">
        <f>'FCF Components'!F73/'FCF Components'!F28</f>
        <v>5.3630405715727816E-2</v>
      </c>
      <c r="H116" s="50">
        <f>'FCF Components'!G73/'FCF Components'!G28</f>
        <v>5.345754919628859E-2</v>
      </c>
      <c r="I116" s="52">
        <v>5.2900000000000003E-2</v>
      </c>
      <c r="J116" s="52">
        <v>5.1299999999999998E-2</v>
      </c>
      <c r="K116" s="52">
        <v>5.0299999999999997E-2</v>
      </c>
      <c r="L116" s="52">
        <v>4.9000000000000002E-2</v>
      </c>
      <c r="M116" s="52">
        <v>4.7800000000000002E-2</v>
      </c>
    </row>
    <row r="117" spans="2:13" x14ac:dyDescent="0.3">
      <c r="B117" s="120">
        <v>0.95</v>
      </c>
      <c r="C117" s="11" t="s">
        <v>3</v>
      </c>
      <c r="D117" s="47"/>
      <c r="E117" s="47"/>
      <c r="F117" s="47"/>
      <c r="G117" s="47"/>
      <c r="H117" s="47"/>
      <c r="I117" s="101">
        <f>I116*$B117</f>
        <v>5.0255000000000001E-2</v>
      </c>
      <c r="J117" s="101">
        <f t="shared" ref="J117" si="132">J116*$B117</f>
        <v>4.8734999999999994E-2</v>
      </c>
      <c r="K117" s="101">
        <f t="shared" ref="K117" si="133">K116*$B117</f>
        <v>4.7784999999999994E-2</v>
      </c>
      <c r="L117" s="101">
        <f t="shared" ref="L117" si="134">L116*$B117</f>
        <v>4.6550000000000001E-2</v>
      </c>
      <c r="M117" s="101">
        <f t="shared" ref="M117" si="135">M116*$B117</f>
        <v>4.5409999999999999E-2</v>
      </c>
    </row>
    <row r="118" spans="2:13" x14ac:dyDescent="0.3">
      <c r="B118" s="120"/>
      <c r="C118" s="11"/>
      <c r="D118" s="47"/>
      <c r="E118" s="47"/>
      <c r="F118" s="47"/>
      <c r="G118" s="47" t="s">
        <v>39</v>
      </c>
      <c r="H118" s="47"/>
      <c r="I118" s="47"/>
      <c r="J118" s="47"/>
      <c r="K118" s="47"/>
      <c r="L118" s="47"/>
      <c r="M118" s="47"/>
    </row>
    <row r="119" spans="2:13" x14ac:dyDescent="0.3">
      <c r="B119" s="120"/>
      <c r="C119" s="36" t="s">
        <v>40</v>
      </c>
      <c r="D119" s="47"/>
      <c r="E119" s="47"/>
      <c r="F119" s="47"/>
      <c r="G119" s="47"/>
      <c r="H119" s="47"/>
      <c r="I119" s="47"/>
      <c r="J119" s="47"/>
      <c r="K119" s="47"/>
      <c r="L119" s="47"/>
      <c r="M119" s="47"/>
    </row>
    <row r="120" spans="2:13" x14ac:dyDescent="0.3">
      <c r="B120" s="120"/>
      <c r="C120" s="11" t="s">
        <v>2</v>
      </c>
      <c r="D120" s="48"/>
      <c r="E120" s="48"/>
      <c r="F120" s="48"/>
      <c r="G120" s="48"/>
      <c r="H120" s="48"/>
      <c r="I120" s="47">
        <v>0</v>
      </c>
      <c r="J120" s="47">
        <v>0</v>
      </c>
      <c r="K120" s="47">
        <v>0</v>
      </c>
      <c r="L120" s="47">
        <v>0</v>
      </c>
      <c r="M120" s="47">
        <v>0</v>
      </c>
    </row>
    <row r="121" spans="2:13" x14ac:dyDescent="0.3">
      <c r="B121" s="120">
        <v>0.95</v>
      </c>
      <c r="C121" s="14" t="s">
        <v>1</v>
      </c>
      <c r="D121" s="49"/>
      <c r="E121" s="49"/>
      <c r="F121" s="49"/>
      <c r="G121" s="49"/>
      <c r="H121" s="49"/>
      <c r="I121" s="100">
        <f>I122*$B121</f>
        <v>0.37040499999999998</v>
      </c>
      <c r="J121" s="100">
        <f t="shared" ref="J121" si="136">J122*$B121</f>
        <v>0.35833999999999994</v>
      </c>
      <c r="K121" s="100">
        <f t="shared" ref="K121" si="137">K122*$B121</f>
        <v>0.326515</v>
      </c>
      <c r="L121" s="100">
        <f t="shared" ref="L121" si="138">L122*$B121</f>
        <v>0.33363999999999999</v>
      </c>
      <c r="M121" s="100">
        <f t="shared" ref="M121" si="139">M122*$B121</f>
        <v>0.32508999999999999</v>
      </c>
    </row>
    <row r="122" spans="2:13" x14ac:dyDescent="0.3">
      <c r="B122" s="120"/>
      <c r="C122" s="11" t="s">
        <v>2</v>
      </c>
      <c r="D122" s="50">
        <f>'FCF Components'!C78/'FCF Components'!C43</f>
        <v>0.45576162086686484</v>
      </c>
      <c r="E122" s="50">
        <f>'FCF Components'!D78/'FCF Components'!D43</f>
        <v>0.37387742832450305</v>
      </c>
      <c r="F122" s="50">
        <f>'FCF Components'!E78/'FCF Components'!E43</f>
        <v>0.36403595289758739</v>
      </c>
      <c r="G122" s="50">
        <f>'FCF Components'!F78/'FCF Components'!F43</f>
        <v>0.38820049531426126</v>
      </c>
      <c r="H122" s="50">
        <f>'FCF Components'!G78/'FCF Components'!G43</f>
        <v>0.4345589676867414</v>
      </c>
      <c r="I122" s="52">
        <v>0.38990000000000002</v>
      </c>
      <c r="J122" s="52">
        <v>0.37719999999999998</v>
      </c>
      <c r="K122" s="52">
        <v>0.34370000000000001</v>
      </c>
      <c r="L122" s="52">
        <v>0.35120000000000001</v>
      </c>
      <c r="M122" s="52">
        <v>0.3422</v>
      </c>
    </row>
    <row r="123" spans="2:13" x14ac:dyDescent="0.3">
      <c r="B123" s="120">
        <v>1.05</v>
      </c>
      <c r="C123" s="11" t="s">
        <v>3</v>
      </c>
      <c r="D123" s="47"/>
      <c r="E123" s="47"/>
      <c r="F123" s="47"/>
      <c r="G123" s="47"/>
      <c r="H123" s="47"/>
      <c r="I123" s="101">
        <f>I122*$B123</f>
        <v>0.40939500000000006</v>
      </c>
      <c r="J123" s="101">
        <f t="shared" ref="J123" si="140">J122*$B123</f>
        <v>0.39606000000000002</v>
      </c>
      <c r="K123" s="101">
        <f t="shared" ref="K123" si="141">K122*$B123</f>
        <v>0.36088500000000001</v>
      </c>
      <c r="L123" s="101">
        <f t="shared" ref="L123" si="142">L122*$B123</f>
        <v>0.36876000000000003</v>
      </c>
      <c r="M123" s="101">
        <f t="shared" ref="M123" si="143">M122*$B123</f>
        <v>0.35931000000000002</v>
      </c>
    </row>
    <row r="124" spans="2:13" x14ac:dyDescent="0.3">
      <c r="B124" s="120"/>
      <c r="D124" s="37"/>
      <c r="E124" s="37"/>
      <c r="F124" s="37"/>
      <c r="G124" s="37"/>
      <c r="H124" s="37"/>
      <c r="I124" s="37"/>
      <c r="J124" s="37"/>
      <c r="K124" s="37"/>
      <c r="L124" s="37"/>
      <c r="M124" s="37"/>
    </row>
    <row r="125" spans="2:13" x14ac:dyDescent="0.3">
      <c r="B125" s="120"/>
      <c r="C125" s="36" t="s">
        <v>41</v>
      </c>
      <c r="D125" s="47"/>
      <c r="E125" s="47"/>
      <c r="F125" s="47"/>
      <c r="G125" s="47"/>
      <c r="H125" s="47"/>
      <c r="I125" s="47"/>
      <c r="J125" s="47"/>
      <c r="K125" s="47"/>
      <c r="L125" s="47"/>
      <c r="M125" s="47"/>
    </row>
    <row r="126" spans="2:13" x14ac:dyDescent="0.3">
      <c r="B126" s="120"/>
      <c r="C126" s="11" t="s">
        <v>2</v>
      </c>
      <c r="D126" s="48"/>
      <c r="E126" s="48"/>
      <c r="F126" s="48"/>
      <c r="G126" s="48"/>
      <c r="H126" s="48"/>
      <c r="I126" s="47">
        <v>0</v>
      </c>
      <c r="J126" s="47">
        <v>0</v>
      </c>
      <c r="K126" s="47">
        <v>0</v>
      </c>
      <c r="L126" s="47">
        <v>0</v>
      </c>
      <c r="M126" s="47">
        <v>0</v>
      </c>
    </row>
    <row r="127" spans="2:13" x14ac:dyDescent="0.3">
      <c r="B127" s="120">
        <v>0.95</v>
      </c>
      <c r="C127" s="14" t="s">
        <v>1</v>
      </c>
      <c r="D127" s="49"/>
      <c r="E127" s="49"/>
      <c r="F127" s="49"/>
      <c r="G127" s="49"/>
      <c r="H127" s="49"/>
      <c r="I127" s="100">
        <f>I128*$B127</f>
        <v>0.24947</v>
      </c>
      <c r="J127" s="100">
        <f t="shared" ref="J127" si="144">J128*$B127</f>
        <v>0.23674000000000001</v>
      </c>
      <c r="K127" s="100">
        <f t="shared" ref="K127" si="145">K128*$B127</f>
        <v>0.23236999999999999</v>
      </c>
      <c r="L127" s="100">
        <f t="shared" ref="L127" si="146">L128*$B127</f>
        <v>0.22286999999999998</v>
      </c>
      <c r="M127" s="100">
        <f t="shared" ref="M127" si="147">M128*$B127</f>
        <v>0.21811999999999998</v>
      </c>
    </row>
    <row r="128" spans="2:13" x14ac:dyDescent="0.3">
      <c r="B128" s="120"/>
      <c r="C128" s="11" t="s">
        <v>2</v>
      </c>
      <c r="D128" s="50">
        <f>'FCF Components'!C79/'FCF Components'!C43</f>
        <v>0.29997276925127031</v>
      </c>
      <c r="E128" s="50">
        <f>'FCF Components'!D79/'FCF Components'!D43</f>
        <v>0.29386953744410627</v>
      </c>
      <c r="F128" s="50">
        <f>'FCF Components'!E79/'FCF Components'!E43</f>
        <v>0.27748998687787851</v>
      </c>
      <c r="G128" s="50">
        <f>'FCF Components'!F79/'FCF Components'!F43</f>
        <v>0.27548770353549068</v>
      </c>
      <c r="H128" s="50">
        <f>'FCF Components'!G79/'FCF Components'!G43</f>
        <v>0.26919992157841266</v>
      </c>
      <c r="I128" s="52">
        <v>0.2626</v>
      </c>
      <c r="J128" s="52">
        <v>0.2492</v>
      </c>
      <c r="K128" s="52">
        <v>0.24460000000000001</v>
      </c>
      <c r="L128" s="52">
        <v>0.2346</v>
      </c>
      <c r="M128" s="52">
        <v>0.2296</v>
      </c>
    </row>
    <row r="129" spans="2:13" x14ac:dyDescent="0.3">
      <c r="B129" s="120">
        <v>1.05</v>
      </c>
      <c r="C129" s="11" t="s">
        <v>3</v>
      </c>
      <c r="D129" s="47"/>
      <c r="E129" s="47"/>
      <c r="F129" s="47"/>
      <c r="G129" s="47"/>
      <c r="H129" s="47"/>
      <c r="I129" s="101">
        <f>I128*$B129</f>
        <v>0.27573000000000003</v>
      </c>
      <c r="J129" s="101">
        <f t="shared" ref="J129" si="148">J128*$B129</f>
        <v>0.26166</v>
      </c>
      <c r="K129" s="101">
        <f t="shared" ref="K129" si="149">K128*$B129</f>
        <v>0.25683</v>
      </c>
      <c r="L129" s="101">
        <f t="shared" ref="L129" si="150">L128*$B129</f>
        <v>0.24633000000000002</v>
      </c>
      <c r="M129" s="101">
        <f t="shared" ref="M129" si="151">M128*$B129</f>
        <v>0.24108000000000002</v>
      </c>
    </row>
    <row r="132" spans="2:13" x14ac:dyDescent="0.3">
      <c r="C132" s="2" t="s">
        <v>42</v>
      </c>
      <c r="D132" s="45">
        <f>AVERAGE(D92,F92:H92)</f>
        <v>0.16158420099460291</v>
      </c>
    </row>
  </sheetData>
  <dataValidations count="1">
    <dataValidation type="list" allowBlank="1" showInputMessage="1" showErrorMessage="1" sqref="D3" xr:uid="{B76D5311-C64F-8B41-A1CA-D93A18FD192D}">
      <formula1>$D$4:$D$6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D060-8086-3C48-A308-A8A0484812BC}">
  <dimension ref="A1:P94"/>
  <sheetViews>
    <sheetView showGridLines="0" zoomScale="85" zoomScaleNormal="85" workbookViewId="0">
      <pane ySplit="3" topLeftCell="A31" activePane="bottomLeft" state="frozen"/>
      <selection pane="bottomLeft" activeCell="M31" sqref="M31"/>
    </sheetView>
  </sheetViews>
  <sheetFormatPr defaultColWidth="10.69921875" defaultRowHeight="15.6" x14ac:dyDescent="0.3"/>
  <cols>
    <col min="1" max="1" width="4.19921875" style="1" customWidth="1"/>
    <col min="2" max="2" width="42.5" style="1" bestFit="1" customWidth="1"/>
    <col min="3" max="7" width="10.69921875" style="1"/>
    <col min="8" max="10" width="12.3984375" style="1" bestFit="1" customWidth="1"/>
    <col min="11" max="12" width="13.5" style="1" bestFit="1" customWidth="1"/>
    <col min="13" max="13" width="46.69921875" style="1" bestFit="1" customWidth="1"/>
    <col min="14" max="16384" width="10.69921875" style="1"/>
  </cols>
  <sheetData>
    <row r="1" spans="2:12" x14ac:dyDescent="0.3">
      <c r="L1" s="116" t="str">
        <f>"CURRENTLY VIEWING "&amp;CHOOSE(Assumptions!$D$3,"DOWNSIDE","BASE","UPSIDE")&amp;" CASE"</f>
        <v>CURRENTLY VIEWING BASE CASE</v>
      </c>
    </row>
    <row r="2" spans="2:12" x14ac:dyDescent="0.3">
      <c r="B2" s="4" t="s">
        <v>43</v>
      </c>
      <c r="C2" s="188" t="s">
        <v>44</v>
      </c>
      <c r="D2" s="188"/>
      <c r="E2" s="188"/>
      <c r="F2" s="188"/>
      <c r="G2" s="188"/>
      <c r="H2" s="188" t="s">
        <v>45</v>
      </c>
      <c r="I2" s="188"/>
      <c r="J2" s="188"/>
      <c r="K2" s="188"/>
      <c r="L2" s="188"/>
    </row>
    <row r="3" spans="2:12" x14ac:dyDescent="0.3">
      <c r="B3" s="4" t="s">
        <v>46</v>
      </c>
      <c r="C3" s="5">
        <v>2021</v>
      </c>
      <c r="D3" s="5">
        <f>C3+1</f>
        <v>2022</v>
      </c>
      <c r="E3" s="5">
        <f t="shared" ref="E3:L3" si="0">D3+1</f>
        <v>2023</v>
      </c>
      <c r="F3" s="5">
        <f t="shared" si="0"/>
        <v>2024</v>
      </c>
      <c r="G3" s="5">
        <f t="shared" si="0"/>
        <v>2025</v>
      </c>
      <c r="H3" s="6">
        <f t="shared" si="0"/>
        <v>2026</v>
      </c>
      <c r="I3" s="6">
        <f t="shared" si="0"/>
        <v>2027</v>
      </c>
      <c r="J3" s="6">
        <f t="shared" si="0"/>
        <v>2028</v>
      </c>
      <c r="K3" s="6">
        <f t="shared" si="0"/>
        <v>2029</v>
      </c>
      <c r="L3" s="6">
        <f t="shared" si="0"/>
        <v>2030</v>
      </c>
    </row>
    <row r="4" spans="2:12" x14ac:dyDescent="0.3">
      <c r="B4" s="2" t="s">
        <v>47</v>
      </c>
    </row>
    <row r="5" spans="2:12" x14ac:dyDescent="0.3">
      <c r="B5" s="2" t="s">
        <v>48</v>
      </c>
    </row>
    <row r="6" spans="2:12" x14ac:dyDescent="0.3">
      <c r="B6" s="2"/>
    </row>
    <row r="7" spans="2:12" x14ac:dyDescent="0.3">
      <c r="B7" s="10" t="s">
        <v>49</v>
      </c>
      <c r="C7" s="59">
        <v>222075</v>
      </c>
      <c r="D7" s="60">
        <v>220004</v>
      </c>
      <c r="E7" s="60">
        <v>231872</v>
      </c>
      <c r="F7" s="59">
        <v>247029</v>
      </c>
      <c r="G7" s="59">
        <v>269287</v>
      </c>
      <c r="H7" s="82">
        <f>G7*(1+Assumptions!I14)</f>
        <v>289483.52499999997</v>
      </c>
      <c r="I7" s="82">
        <f>H7*(1+Assumptions!J14)</f>
        <v>309805.26845499995</v>
      </c>
      <c r="J7" s="82">
        <f>I7*(1+Assumptions!K14)</f>
        <v>331367.71513946791</v>
      </c>
      <c r="K7" s="82">
        <f>J7*(1+Assumptions!L14)</f>
        <v>355524.42157313513</v>
      </c>
      <c r="L7" s="82">
        <f>K7*(1+Assumptions!M14)</f>
        <v>380979.97015777166</v>
      </c>
    </row>
    <row r="8" spans="2:12" x14ac:dyDescent="0.3">
      <c r="B8" s="64" t="s">
        <v>50</v>
      </c>
      <c r="C8" s="65"/>
      <c r="D8" s="68">
        <f>D7/C7-1</f>
        <v>-9.3256782618484912E-3</v>
      </c>
      <c r="E8" s="68">
        <f t="shared" ref="E8:G8" si="1">E7/D7-1</f>
        <v>5.3944473736841081E-2</v>
      </c>
      <c r="F8" s="68">
        <f t="shared" si="1"/>
        <v>6.5367961634005045E-2</v>
      </c>
      <c r="G8" s="68">
        <f t="shared" si="1"/>
        <v>9.0102781454808989E-2</v>
      </c>
      <c r="H8" s="66">
        <f ca="1">Assumptions!I12</f>
        <v>7.4999999999999997E-2</v>
      </c>
      <c r="I8" s="66">
        <f ca="1">Assumptions!J12</f>
        <v>7.0199999999999999E-2</v>
      </c>
      <c r="J8" s="66">
        <f ca="1">Assumptions!K12</f>
        <v>6.9599999999999995E-2</v>
      </c>
      <c r="K8" s="66">
        <f ca="1">Assumptions!L12</f>
        <v>7.2900000000000006E-2</v>
      </c>
      <c r="L8" s="66">
        <f ca="1">Assumptions!M12</f>
        <v>7.1599999999999997E-2</v>
      </c>
    </row>
    <row r="9" spans="2:12" x14ac:dyDescent="0.3">
      <c r="B9" s="64"/>
      <c r="C9" s="65"/>
      <c r="D9" s="66"/>
      <c r="E9" s="66"/>
      <c r="F9" s="66"/>
      <c r="G9" s="66"/>
      <c r="H9" s="78"/>
      <c r="I9" s="77"/>
      <c r="J9" s="77"/>
      <c r="K9" s="77"/>
      <c r="L9" s="77"/>
    </row>
    <row r="10" spans="2:12" x14ac:dyDescent="0.3">
      <c r="B10" s="10" t="s">
        <v>51</v>
      </c>
      <c r="C10" s="59">
        <v>17075</v>
      </c>
      <c r="D10" s="60">
        <v>18963</v>
      </c>
      <c r="E10" s="60">
        <v>20030</v>
      </c>
      <c r="F10" s="59">
        <v>21215</v>
      </c>
      <c r="G10" s="59">
        <v>22561</v>
      </c>
      <c r="H10" s="82">
        <f>G10*(1+Assumptions!I20)</f>
        <v>23704.842700000001</v>
      </c>
      <c r="I10" s="82">
        <f t="shared" ref="I10:L10" ca="1" si="2">H10*(1+I11)</f>
        <v>24890.084835000001</v>
      </c>
      <c r="J10" s="82">
        <f t="shared" ca="1" si="2"/>
        <v>26005.160635608001</v>
      </c>
      <c r="K10" s="82">
        <f t="shared" ca="1" si="2"/>
        <v>27128.583575066263</v>
      </c>
      <c r="L10" s="82">
        <f t="shared" ca="1" si="2"/>
        <v>28257.132651789023</v>
      </c>
    </row>
    <row r="11" spans="2:12" x14ac:dyDescent="0.3">
      <c r="B11" s="64" t="s">
        <v>10</v>
      </c>
      <c r="C11" s="65"/>
      <c r="D11" s="68">
        <f>D10/C10-1</f>
        <v>0.11057101024890192</v>
      </c>
      <c r="E11" s="68">
        <f t="shared" ref="E11:G11" si="3">E10/D10-1</f>
        <v>5.6267468227601203E-2</v>
      </c>
      <c r="F11" s="68">
        <f t="shared" si="3"/>
        <v>5.9161258112830684E-2</v>
      </c>
      <c r="G11" s="68">
        <f t="shared" si="3"/>
        <v>6.3445675229790277E-2</v>
      </c>
      <c r="H11" s="66">
        <f ca="1">Assumptions!I18</f>
        <v>5.0700000000000002E-2</v>
      </c>
      <c r="I11" s="66">
        <f ca="1">Assumptions!J18</f>
        <v>0.05</v>
      </c>
      <c r="J11" s="66">
        <f ca="1">Assumptions!K18</f>
        <v>4.48E-2</v>
      </c>
      <c r="K11" s="66">
        <f ca="1">Assumptions!L18</f>
        <v>4.3200000000000002E-2</v>
      </c>
      <c r="L11" s="66">
        <f ca="1">Assumptions!M18</f>
        <v>4.1599999999999998E-2</v>
      </c>
    </row>
    <row r="12" spans="2:12" x14ac:dyDescent="0.3">
      <c r="B12" s="64"/>
      <c r="C12" s="65"/>
      <c r="D12" s="68"/>
      <c r="E12" s="68"/>
      <c r="F12" s="68"/>
      <c r="G12" s="68"/>
      <c r="H12" s="79"/>
      <c r="I12" s="77"/>
      <c r="J12" s="77"/>
      <c r="K12" s="77"/>
      <c r="L12" s="77"/>
    </row>
    <row r="13" spans="2:12" x14ac:dyDescent="0.3">
      <c r="B13" s="10" t="s">
        <v>52</v>
      </c>
      <c r="C13" s="59">
        <v>103366</v>
      </c>
      <c r="D13" s="70">
        <v>117716</v>
      </c>
      <c r="E13" s="70">
        <v>140053</v>
      </c>
      <c r="F13" s="71">
        <v>156146</v>
      </c>
      <c r="G13" s="71">
        <v>172162</v>
      </c>
      <c r="H13" s="82">
        <f>G13*(1+Assumptions!I26)</f>
        <v>190307.87479999999</v>
      </c>
      <c r="I13" s="82">
        <f t="shared" ref="I13:L13" ca="1" si="4">H13*(1+I14)</f>
        <v>207435.58353200002</v>
      </c>
      <c r="J13" s="82">
        <f t="shared" ca="1" si="4"/>
        <v>227224.93820095281</v>
      </c>
      <c r="K13" s="82">
        <f t="shared" ca="1" si="4"/>
        <v>247516.12518229787</v>
      </c>
      <c r="L13" s="82">
        <f t="shared" ca="1" si="4"/>
        <v>268134.21840998327</v>
      </c>
    </row>
    <row r="14" spans="2:12" x14ac:dyDescent="0.3">
      <c r="B14" s="64" t="s">
        <v>13</v>
      </c>
      <c r="C14" s="65"/>
      <c r="D14" s="68">
        <f>D13/C13-1</f>
        <v>0.13882708047133496</v>
      </c>
      <c r="E14" s="68">
        <f t="shared" ref="E14:G14" si="5">E13/D13-1</f>
        <v>0.18975330456352579</v>
      </c>
      <c r="F14" s="68">
        <f t="shared" si="5"/>
        <v>0.11490649968226307</v>
      </c>
      <c r="G14" s="68">
        <f t="shared" si="5"/>
        <v>0.10257067103864337</v>
      </c>
      <c r="H14" s="66">
        <f ca="1">Assumptions!I24</f>
        <v>0.10539999999999999</v>
      </c>
      <c r="I14" s="66">
        <f ca="1">Assumptions!J24</f>
        <v>0.09</v>
      </c>
      <c r="J14" s="66">
        <f ca="1">Assumptions!K24</f>
        <v>9.5399999999999999E-2</v>
      </c>
      <c r="K14" s="66">
        <f ca="1">Assumptions!L24</f>
        <v>8.9300000000000004E-2</v>
      </c>
      <c r="L14" s="66">
        <f ca="1">Assumptions!M24</f>
        <v>8.3299999999999999E-2</v>
      </c>
    </row>
    <row r="15" spans="2:12" x14ac:dyDescent="0.3">
      <c r="B15" s="64"/>
      <c r="C15" s="65"/>
      <c r="D15" s="68"/>
      <c r="E15" s="68"/>
      <c r="F15" s="68"/>
      <c r="G15" s="68"/>
      <c r="H15" s="79"/>
      <c r="I15" s="77"/>
      <c r="J15" s="77"/>
      <c r="K15" s="77"/>
      <c r="L15" s="77"/>
    </row>
    <row r="16" spans="2:12" x14ac:dyDescent="0.3">
      <c r="B16" s="10" t="s">
        <v>53</v>
      </c>
      <c r="C16" s="59">
        <v>31160</v>
      </c>
      <c r="D16" s="70">
        <v>37739</v>
      </c>
      <c r="E16" s="70">
        <v>46906</v>
      </c>
      <c r="F16" s="71">
        <v>56214</v>
      </c>
      <c r="G16" s="71">
        <v>68635</v>
      </c>
      <c r="H16" s="82">
        <f>G16*(1+Assumptions!I32)</f>
        <v>81298.157499999987</v>
      </c>
      <c r="I16" s="82">
        <f t="shared" ref="I16:L16" ca="1" si="6">H16*(1+I17)</f>
        <v>95338.349300249989</v>
      </c>
      <c r="J16" s="82">
        <f t="shared" ca="1" si="6"/>
        <v>109820.24455895796</v>
      </c>
      <c r="K16" s="82">
        <f t="shared" ca="1" si="6"/>
        <v>125074.27652819722</v>
      </c>
      <c r="L16" s="82">
        <f t="shared" ca="1" si="6"/>
        <v>141371.45475982132</v>
      </c>
    </row>
    <row r="17" spans="2:12" x14ac:dyDescent="0.3">
      <c r="B17" s="64" t="s">
        <v>16</v>
      </c>
      <c r="C17" s="65"/>
      <c r="D17" s="68">
        <f>D16/C16-1</f>
        <v>0.21113607188703476</v>
      </c>
      <c r="E17" s="68">
        <f t="shared" ref="E17:G17" si="7">E16/D16-1</f>
        <v>0.24290521741434601</v>
      </c>
      <c r="F17" s="68">
        <f t="shared" si="7"/>
        <v>0.19843943205560066</v>
      </c>
      <c r="G17" s="68">
        <f t="shared" si="7"/>
        <v>0.22095919166044053</v>
      </c>
      <c r="H17" s="66">
        <f ca="1">Assumptions!I30</f>
        <v>0.1845</v>
      </c>
      <c r="I17" s="66">
        <f ca="1">Assumptions!J30</f>
        <v>0.17269999999999999</v>
      </c>
      <c r="J17" s="66">
        <f ca="1">Assumptions!K30</f>
        <v>0.15190000000000001</v>
      </c>
      <c r="K17" s="66">
        <f ca="1">Assumptions!L30</f>
        <v>0.1389</v>
      </c>
      <c r="L17" s="66">
        <f ca="1">Assumptions!M30</f>
        <v>0.1303</v>
      </c>
    </row>
    <row r="18" spans="2:12" x14ac:dyDescent="0.3">
      <c r="B18" s="64"/>
      <c r="C18" s="65"/>
      <c r="D18" s="68"/>
      <c r="E18" s="68"/>
      <c r="F18" s="68"/>
      <c r="G18" s="68"/>
      <c r="H18" s="79"/>
      <c r="I18" s="77"/>
      <c r="J18" s="77"/>
      <c r="K18" s="77"/>
      <c r="L18" s="77"/>
    </row>
    <row r="19" spans="2:12" x14ac:dyDescent="0.3">
      <c r="B19" s="10" t="s">
        <v>54</v>
      </c>
      <c r="C19" s="59">
        <v>31768</v>
      </c>
      <c r="D19" s="70">
        <v>35218</v>
      </c>
      <c r="E19" s="70">
        <v>40209</v>
      </c>
      <c r="F19" s="71">
        <v>44374</v>
      </c>
      <c r="G19" s="71">
        <v>49619</v>
      </c>
      <c r="H19" s="82">
        <f>G19*(1+Assumptions!I38)</f>
        <v>54749.604599999999</v>
      </c>
      <c r="I19" s="82">
        <f t="shared" ref="I19:K19" ca="1" si="8">H19*(1+I20)</f>
        <v>60049.366325279996</v>
      </c>
      <c r="J19" s="82">
        <f t="shared" ca="1" si="8"/>
        <v>65441.799421290147</v>
      </c>
      <c r="K19" s="82">
        <f t="shared" ca="1" si="8"/>
        <v>70853.836233430848</v>
      </c>
      <c r="L19" s="82">
        <f ca="1">K19*(1+L20)</f>
        <v>76465.46006311856</v>
      </c>
    </row>
    <row r="20" spans="2:12" x14ac:dyDescent="0.3">
      <c r="B20" s="64" t="s">
        <v>19</v>
      </c>
      <c r="C20" s="65"/>
      <c r="D20" s="68">
        <f>D19/C19-1</f>
        <v>0.10859984890455809</v>
      </c>
      <c r="E20" s="68">
        <f t="shared" ref="E20:G20" si="9">E19/D19-1</f>
        <v>0.14171730365154178</v>
      </c>
      <c r="F20" s="68">
        <f t="shared" si="9"/>
        <v>0.10358377477679137</v>
      </c>
      <c r="G20" s="68">
        <f t="shared" si="9"/>
        <v>0.11819984675710993</v>
      </c>
      <c r="H20" s="66">
        <f ca="1">Assumptions!I36</f>
        <v>0.10340000000000001</v>
      </c>
      <c r="I20" s="66">
        <f ca="1">Assumptions!J36</f>
        <v>9.6799999999999997E-2</v>
      </c>
      <c r="J20" s="66">
        <f ca="1">Assumptions!K36</f>
        <v>8.9800000000000005E-2</v>
      </c>
      <c r="K20" s="66">
        <f ca="1">Assumptions!L36</f>
        <v>8.2699999999999996E-2</v>
      </c>
      <c r="L20" s="66">
        <f ca="1">Assumptions!M36</f>
        <v>7.9200000000000007E-2</v>
      </c>
    </row>
    <row r="21" spans="2:12" x14ac:dyDescent="0.3">
      <c r="B21" s="64"/>
      <c r="C21" s="65"/>
      <c r="D21" s="66"/>
      <c r="E21" s="66"/>
      <c r="F21" s="66"/>
      <c r="G21" s="66"/>
      <c r="H21" s="79"/>
      <c r="I21" s="77"/>
      <c r="J21" s="77"/>
      <c r="K21" s="77"/>
      <c r="L21" s="77"/>
    </row>
    <row r="22" spans="2:12" x14ac:dyDescent="0.3">
      <c r="B22" s="10" t="s">
        <v>55</v>
      </c>
      <c r="C22" s="59">
        <v>62202</v>
      </c>
      <c r="D22" s="60">
        <v>80096</v>
      </c>
      <c r="E22" s="60">
        <v>90757</v>
      </c>
      <c r="F22" s="59">
        <v>107556</v>
      </c>
      <c r="G22" s="59">
        <v>128725</v>
      </c>
      <c r="H22" s="82">
        <f>G22*(1+Assumptions!I38)</f>
        <v>142035.16499999998</v>
      </c>
      <c r="I22" s="82">
        <f t="shared" ref="I22:L22" ca="1" si="10">H22*(1+I23)</f>
        <v>174547.01426849994</v>
      </c>
      <c r="J22" s="82">
        <f t="shared" ca="1" si="10"/>
        <v>213663.00016607076</v>
      </c>
      <c r="K22" s="82">
        <f t="shared" ca="1" si="10"/>
        <v>253596.61489710939</v>
      </c>
      <c r="L22" s="82">
        <f t="shared" ca="1" si="10"/>
        <v>296429.08315323119</v>
      </c>
    </row>
    <row r="23" spans="2:12" x14ac:dyDescent="0.3">
      <c r="B23" s="64" t="s">
        <v>22</v>
      </c>
      <c r="C23" s="65"/>
      <c r="D23" s="68">
        <f>D22/C22-1</f>
        <v>0.28767563743931057</v>
      </c>
      <c r="E23" s="68">
        <f t="shared" ref="E23:G23" si="11">E22/D22-1</f>
        <v>0.13310277666799841</v>
      </c>
      <c r="F23" s="68">
        <f t="shared" si="11"/>
        <v>0.18509867007503544</v>
      </c>
      <c r="G23" s="68">
        <f t="shared" si="11"/>
        <v>0.19681840157685304</v>
      </c>
      <c r="H23" s="66">
        <f ca="1">Assumptions!I42</f>
        <v>0.24429999999999999</v>
      </c>
      <c r="I23" s="66">
        <f ca="1">Assumptions!J42</f>
        <v>0.22889999999999999</v>
      </c>
      <c r="J23" s="66">
        <f ca="1">Assumptions!K42</f>
        <v>0.22409999999999999</v>
      </c>
      <c r="K23" s="66">
        <f ca="1">Assumptions!L42</f>
        <v>0.18690000000000001</v>
      </c>
      <c r="L23" s="66">
        <f ca="1">Assumptions!M42</f>
        <v>0.16889999999999999</v>
      </c>
    </row>
    <row r="24" spans="2:12" x14ac:dyDescent="0.3">
      <c r="B24" s="64"/>
      <c r="C24" s="65"/>
      <c r="D24" s="66"/>
      <c r="E24" s="66"/>
      <c r="F24" s="66"/>
      <c r="G24" s="66"/>
      <c r="H24" s="79"/>
      <c r="I24" s="77"/>
      <c r="J24" s="77"/>
      <c r="K24" s="77"/>
      <c r="L24" s="77"/>
    </row>
    <row r="25" spans="2:12" x14ac:dyDescent="0.3">
      <c r="B25" s="10" t="s">
        <v>56</v>
      </c>
      <c r="C25" s="59">
        <v>2176</v>
      </c>
      <c r="D25" s="60">
        <v>4247</v>
      </c>
      <c r="E25" s="60">
        <v>4958</v>
      </c>
      <c r="F25" s="59">
        <v>5425</v>
      </c>
      <c r="G25" s="59">
        <v>5935</v>
      </c>
      <c r="H25" s="82">
        <f>G25*(1+Assumptions!I50)</f>
        <v>6172.4000000000005</v>
      </c>
      <c r="I25" s="82">
        <f t="shared" ref="I25:L25" ca="1" si="12">H25*(1+I26)</f>
        <v>6419.2960000000012</v>
      </c>
      <c r="J25" s="82">
        <f t="shared" ca="1" si="12"/>
        <v>6676.0678400000015</v>
      </c>
      <c r="K25" s="82">
        <f t="shared" ca="1" si="12"/>
        <v>6943.1105536000023</v>
      </c>
      <c r="L25" s="82">
        <f t="shared" ca="1" si="12"/>
        <v>7220.8349757440028</v>
      </c>
    </row>
    <row r="26" spans="2:12" x14ac:dyDescent="0.3">
      <c r="B26" s="64" t="s">
        <v>25</v>
      </c>
      <c r="C26" s="67"/>
      <c r="D26" s="68"/>
      <c r="E26" s="68">
        <f t="shared" ref="E26:G26" si="13">E25/D25-1</f>
        <v>0.16741229102896171</v>
      </c>
      <c r="F26" s="68">
        <f t="shared" si="13"/>
        <v>9.4191206131504668E-2</v>
      </c>
      <c r="G26" s="68">
        <f t="shared" si="13"/>
        <v>9.4009216589861833E-2</v>
      </c>
      <c r="H26" s="66">
        <f ca="1">Assumptions!I48</f>
        <v>0.04</v>
      </c>
      <c r="I26" s="66">
        <f ca="1">Assumptions!J48</f>
        <v>0.04</v>
      </c>
      <c r="J26" s="66">
        <f ca="1">Assumptions!K48</f>
        <v>0.04</v>
      </c>
      <c r="K26" s="66">
        <f ca="1">Assumptions!L48</f>
        <v>0.04</v>
      </c>
      <c r="L26" s="66">
        <f ca="1">Assumptions!M48</f>
        <v>0.04</v>
      </c>
    </row>
    <row r="27" spans="2:12" x14ac:dyDescent="0.3">
      <c r="B27" s="64"/>
      <c r="C27" s="67"/>
      <c r="D27" s="66"/>
      <c r="E27" s="66"/>
      <c r="F27" s="66"/>
      <c r="G27" s="66"/>
      <c r="H27" s="77"/>
      <c r="I27" s="77"/>
      <c r="J27" s="77"/>
      <c r="K27" s="77"/>
      <c r="L27" s="77"/>
    </row>
    <row r="28" spans="2:12" ht="16.2" thickBot="1" x14ac:dyDescent="0.35">
      <c r="B28" s="2" t="s">
        <v>57</v>
      </c>
      <c r="C28" s="61">
        <f>SUM(C25,C22,C19,C16,C13,C10,C7)</f>
        <v>469822</v>
      </c>
      <c r="D28" s="61">
        <f t="shared" ref="D28:L28" si="14">SUM(D25,D22,D19,D16,D13,D10,D7)</f>
        <v>513983</v>
      </c>
      <c r="E28" s="61">
        <f t="shared" si="14"/>
        <v>574785</v>
      </c>
      <c r="F28" s="61">
        <f t="shared" si="14"/>
        <v>637959</v>
      </c>
      <c r="G28" s="61">
        <f t="shared" si="14"/>
        <v>716924</v>
      </c>
      <c r="H28" s="83">
        <f t="shared" si="14"/>
        <v>787751.56959999981</v>
      </c>
      <c r="I28" s="83">
        <f t="shared" ca="1" si="14"/>
        <v>878484.96271602996</v>
      </c>
      <c r="J28" s="83">
        <f t="shared" ca="1" si="14"/>
        <v>980198.92596234754</v>
      </c>
      <c r="K28" s="83">
        <f t="shared" ca="1" si="14"/>
        <v>1086636.9685428368</v>
      </c>
      <c r="L28" s="83">
        <f t="shared" ca="1" si="14"/>
        <v>1198858.1541714591</v>
      </c>
    </row>
    <row r="29" spans="2:12" ht="16.2" thickTop="1" x14ac:dyDescent="0.3">
      <c r="B29" s="9" t="s">
        <v>58</v>
      </c>
      <c r="C29" s="62"/>
      <c r="D29" s="62">
        <f>D28-C28</f>
        <v>44161</v>
      </c>
      <c r="E29" s="62">
        <f t="shared" ref="E29:L29" si="15">E28-D28</f>
        <v>60802</v>
      </c>
      <c r="F29" s="62">
        <f t="shared" si="15"/>
        <v>63174</v>
      </c>
      <c r="G29" s="62">
        <f t="shared" si="15"/>
        <v>78965</v>
      </c>
      <c r="H29" s="84">
        <f t="shared" si="15"/>
        <v>70827.569599999813</v>
      </c>
      <c r="I29" s="84">
        <f t="shared" ca="1" si="15"/>
        <v>90733.393116030144</v>
      </c>
      <c r="J29" s="84">
        <f t="shared" ca="1" si="15"/>
        <v>101713.96324631758</v>
      </c>
      <c r="K29" s="84">
        <f t="shared" ca="1" si="15"/>
        <v>106438.0425804893</v>
      </c>
      <c r="L29" s="84">
        <f t="shared" ca="1" si="15"/>
        <v>112221.1856286223</v>
      </c>
    </row>
    <row r="30" spans="2:12" x14ac:dyDescent="0.3">
      <c r="H30" s="79"/>
      <c r="I30" s="78"/>
      <c r="J30" s="78"/>
      <c r="K30" s="78"/>
      <c r="L30" s="78"/>
    </row>
    <row r="31" spans="2:12" x14ac:dyDescent="0.3">
      <c r="B31" s="1" t="s">
        <v>59</v>
      </c>
      <c r="C31" s="8">
        <v>272344</v>
      </c>
      <c r="D31" s="8">
        <v>288831</v>
      </c>
      <c r="E31" s="8">
        <v>304739</v>
      </c>
      <c r="F31" s="8">
        <v>326288</v>
      </c>
      <c r="G31" s="8">
        <v>356414</v>
      </c>
      <c r="H31" s="82">
        <f ca="1">H32*H28</f>
        <v>386786.02067359991</v>
      </c>
      <c r="I31" s="82">
        <f t="shared" ref="I31:L31" ca="1" si="16">I32*I28</f>
        <v>421233.53962233634</v>
      </c>
      <c r="J31" s="82">
        <f t="shared" ca="1" si="16"/>
        <v>452361.80433162343</v>
      </c>
      <c r="K31" s="82">
        <f t="shared" ca="1" si="16"/>
        <v>497897.05898632784</v>
      </c>
      <c r="L31" s="82">
        <f t="shared" ca="1" si="16"/>
        <v>536848.68143797934</v>
      </c>
    </row>
    <row r="32" spans="2:12" x14ac:dyDescent="0.3">
      <c r="B32" s="9" t="s">
        <v>60</v>
      </c>
      <c r="C32" s="69">
        <f>C31/C28</f>
        <v>0.57967485558360399</v>
      </c>
      <c r="D32" s="69">
        <f>D31/D28</f>
        <v>0.56194660134673713</v>
      </c>
      <c r="E32" s="69">
        <f>E31/E28</f>
        <v>0.53017911044999433</v>
      </c>
      <c r="F32" s="69">
        <f>F31/F28</f>
        <v>0.51145606535843213</v>
      </c>
      <c r="G32" s="69">
        <f>G31/G28</f>
        <v>0.49714335131757342</v>
      </c>
      <c r="H32" s="81">
        <f ca="1">Assumptions!I84</f>
        <v>0.49099999999999999</v>
      </c>
      <c r="I32" s="81">
        <f ca="1">Assumptions!J84</f>
        <v>0.47949999999999998</v>
      </c>
      <c r="J32" s="81">
        <f ca="1">Assumptions!K84</f>
        <v>0.46150000000000002</v>
      </c>
      <c r="K32" s="81">
        <f ca="1">Assumptions!L84</f>
        <v>0.4582</v>
      </c>
      <c r="L32" s="81">
        <f ca="1">Assumptions!M84</f>
        <v>0.44779999999999998</v>
      </c>
    </row>
    <row r="33" spans="2:13" x14ac:dyDescent="0.3">
      <c r="H33" s="78"/>
      <c r="I33" s="78"/>
      <c r="J33" s="78"/>
      <c r="K33" s="78"/>
      <c r="L33" s="78"/>
    </row>
    <row r="34" spans="2:13" ht="16.2" thickBot="1" x14ac:dyDescent="0.35">
      <c r="B34" s="2" t="s">
        <v>61</v>
      </c>
      <c r="C34" s="7">
        <f t="shared" ref="C34:L34" si="17">C28-C31</f>
        <v>197478</v>
      </c>
      <c r="D34" s="7">
        <f t="shared" si="17"/>
        <v>225152</v>
      </c>
      <c r="E34" s="7">
        <f t="shared" si="17"/>
        <v>270046</v>
      </c>
      <c r="F34" s="7">
        <f t="shared" si="17"/>
        <v>311671</v>
      </c>
      <c r="G34" s="7">
        <f t="shared" si="17"/>
        <v>360510</v>
      </c>
      <c r="H34" s="83">
        <f t="shared" ca="1" si="17"/>
        <v>400965.5489263999</v>
      </c>
      <c r="I34" s="83">
        <f t="shared" ca="1" si="17"/>
        <v>457251.42309369362</v>
      </c>
      <c r="J34" s="83">
        <f t="shared" ca="1" si="17"/>
        <v>527837.12163072405</v>
      </c>
      <c r="K34" s="83">
        <f t="shared" ca="1" si="17"/>
        <v>588739.909556509</v>
      </c>
      <c r="L34" s="83">
        <f t="shared" ca="1" si="17"/>
        <v>662009.47273347981</v>
      </c>
    </row>
    <row r="35" spans="2:13" ht="16.2" thickTop="1" x14ac:dyDescent="0.3">
      <c r="H35" s="78"/>
      <c r="I35" s="78"/>
      <c r="J35" s="78"/>
      <c r="K35" s="78"/>
      <c r="L35" s="78"/>
    </row>
    <row r="36" spans="2:13" x14ac:dyDescent="0.3">
      <c r="B36" s="2" t="s">
        <v>62</v>
      </c>
      <c r="H36" s="78"/>
      <c r="I36" s="78"/>
      <c r="J36" s="78"/>
      <c r="K36" s="78"/>
      <c r="L36" s="78"/>
    </row>
    <row r="37" spans="2:13" x14ac:dyDescent="0.3">
      <c r="B37" s="10" t="s">
        <v>63</v>
      </c>
      <c r="C37" s="59">
        <v>75111</v>
      </c>
      <c r="D37" s="59">
        <v>84299</v>
      </c>
      <c r="E37" s="59">
        <v>90619</v>
      </c>
      <c r="F37" s="59">
        <v>98505</v>
      </c>
      <c r="G37" s="59">
        <v>109074</v>
      </c>
      <c r="H37" s="82">
        <f ca="1">H28*Assumptions!I54</f>
        <v>119808.88</v>
      </c>
      <c r="I37" s="82">
        <f ca="1">I28*Assumptions!J54</f>
        <v>131286.6</v>
      </c>
      <c r="J37" s="82">
        <f ca="1">J28*Assumptions!K54</f>
        <v>143537.14000000001</v>
      </c>
      <c r="K37" s="82">
        <f ca="1">K28*Assumptions!L54</f>
        <v>154144.60999999999</v>
      </c>
      <c r="L37" s="82">
        <f ca="1">L28*Assumptions!M54</f>
        <v>165031.06</v>
      </c>
    </row>
    <row r="38" spans="2:13" x14ac:dyDescent="0.3">
      <c r="B38" s="10" t="s">
        <v>64</v>
      </c>
      <c r="C38" s="59">
        <v>56052</v>
      </c>
      <c r="D38" s="59">
        <v>73213</v>
      </c>
      <c r="E38" s="59">
        <v>85622</v>
      </c>
      <c r="F38" s="59">
        <v>88544</v>
      </c>
      <c r="G38" s="59">
        <v>108521</v>
      </c>
      <c r="H38" s="82">
        <f ca="1">H28*Assumptions!I60</f>
        <v>123755.77158415996</v>
      </c>
      <c r="I38" s="82">
        <f ca="1">I28*Assumptions!J60</f>
        <v>140381.89704202159</v>
      </c>
      <c r="J38" s="82">
        <f ca="1">J28*Assumptions!K60</f>
        <v>163007.0813875384</v>
      </c>
      <c r="K38" s="82">
        <f ca="1">K28*Assumptions!L60</f>
        <v>184510.9572585737</v>
      </c>
      <c r="L38" s="82">
        <f ca="1">L28*Assumptions!M60</f>
        <v>204525.20110165092</v>
      </c>
    </row>
    <row r="39" spans="2:13" x14ac:dyDescent="0.3">
      <c r="B39" s="10" t="s">
        <v>65</v>
      </c>
      <c r="C39" s="59">
        <v>32551</v>
      </c>
      <c r="D39" s="59">
        <v>42238</v>
      </c>
      <c r="E39" s="59">
        <v>44370</v>
      </c>
      <c r="F39" s="8">
        <v>43907</v>
      </c>
      <c r="G39" s="8">
        <v>47129</v>
      </c>
      <c r="H39" s="82">
        <f ca="1">H28*Assumptions!I66</f>
        <v>51282.627180959993</v>
      </c>
      <c r="I39" s="82">
        <f ca="1">I28*Assumptions!J66</f>
        <v>56662.280095183931</v>
      </c>
      <c r="J39" s="82">
        <f ca="1">J28*Assumptions!K66</f>
        <v>61458.472657839193</v>
      </c>
      <c r="K39" s="82">
        <f ca="1">K28*Assumptions!L66</f>
        <v>65958.863990550191</v>
      </c>
      <c r="L39" s="82">
        <f ca="1">L28*Assumptions!M66</f>
        <v>70972.402726950386</v>
      </c>
    </row>
    <row r="40" spans="2:13" x14ac:dyDescent="0.3">
      <c r="B40" s="10" t="s">
        <v>66</v>
      </c>
      <c r="C40" s="59">
        <v>8823</v>
      </c>
      <c r="D40" s="59">
        <v>11891</v>
      </c>
      <c r="E40" s="59">
        <v>11816</v>
      </c>
      <c r="F40" s="8">
        <v>11359</v>
      </c>
      <c r="G40" s="8">
        <v>11172</v>
      </c>
      <c r="H40" s="82">
        <f ca="1">H28*Assumptions!I72</f>
        <v>12288.924485759997</v>
      </c>
      <c r="I40" s="82">
        <f ca="1">I28*Assumptions!J72</f>
        <v>14055.759403456479</v>
      </c>
      <c r="J40" s="82">
        <f ca="1">J28*Assumptions!K72</f>
        <v>14506.944104242744</v>
      </c>
      <c r="K40" s="82">
        <f ca="1">K28*Assumptions!L72</f>
        <v>14995.590165891148</v>
      </c>
      <c r="L40" s="82">
        <f ca="1">L28*Assumptions!M72</f>
        <v>15705.041819646116</v>
      </c>
    </row>
    <row r="41" spans="2:13" x14ac:dyDescent="0.3">
      <c r="B41" s="10" t="s">
        <v>67</v>
      </c>
      <c r="C41" s="8">
        <v>62</v>
      </c>
      <c r="D41" s="59">
        <v>1263</v>
      </c>
      <c r="E41" s="8">
        <v>767</v>
      </c>
      <c r="F41" s="8">
        <v>763</v>
      </c>
      <c r="G41" s="59">
        <v>4639</v>
      </c>
      <c r="H41" s="82">
        <f ca="1">H28*Assumptions!I78</f>
        <v>1508.14</v>
      </c>
      <c r="I41" s="82">
        <f ca="1">I28*Assumptions!J78</f>
        <v>1636.42</v>
      </c>
      <c r="J41" s="82">
        <f ca="1">J28*Assumptions!K78</f>
        <v>1965.3399999999997</v>
      </c>
      <c r="K41" s="82">
        <f ca="1">K28*Assumptions!L78</f>
        <v>2209.81</v>
      </c>
      <c r="L41" s="82">
        <f ca="1">L28*Assumptions!M78</f>
        <v>2397.7163083429182</v>
      </c>
    </row>
    <row r="42" spans="2:13" x14ac:dyDescent="0.3">
      <c r="H42" s="78"/>
      <c r="I42" s="78"/>
      <c r="J42" s="78"/>
      <c r="K42" s="78"/>
      <c r="L42" s="78"/>
    </row>
    <row r="43" spans="2:13" x14ac:dyDescent="0.3">
      <c r="B43" s="2" t="s">
        <v>68</v>
      </c>
      <c r="C43" s="3">
        <f t="shared" ref="C43:L43" si="18">SUM(C37:C41)</f>
        <v>172599</v>
      </c>
      <c r="D43" s="3">
        <f t="shared" si="18"/>
        <v>212904</v>
      </c>
      <c r="E43" s="3">
        <f t="shared" si="18"/>
        <v>233194</v>
      </c>
      <c r="F43" s="3">
        <f t="shared" si="18"/>
        <v>243078</v>
      </c>
      <c r="G43" s="3">
        <f t="shared" si="18"/>
        <v>280535</v>
      </c>
      <c r="H43" s="85">
        <f t="shared" ca="1" si="18"/>
        <v>308644.34325087996</v>
      </c>
      <c r="I43" s="85">
        <f t="shared" ca="1" si="18"/>
        <v>344022.95654066198</v>
      </c>
      <c r="J43" s="85">
        <f t="shared" ca="1" si="18"/>
        <v>384474.97814962035</v>
      </c>
      <c r="K43" s="85">
        <f t="shared" ca="1" si="18"/>
        <v>421819.83141501504</v>
      </c>
      <c r="L43" s="85">
        <f t="shared" ca="1" si="18"/>
        <v>458631.42195659032</v>
      </c>
    </row>
    <row r="44" spans="2:13" x14ac:dyDescent="0.3">
      <c r="H44" s="86"/>
      <c r="I44" s="86"/>
      <c r="J44" s="86"/>
      <c r="K44" s="86"/>
      <c r="L44" s="86"/>
    </row>
    <row r="45" spans="2:13" ht="16.2" thickBot="1" x14ac:dyDescent="0.35">
      <c r="B45" s="2" t="s">
        <v>69</v>
      </c>
      <c r="C45" s="7">
        <f t="shared" ref="C45:L45" si="19">C34-C43</f>
        <v>24879</v>
      </c>
      <c r="D45" s="7">
        <f t="shared" si="19"/>
        <v>12248</v>
      </c>
      <c r="E45" s="7">
        <f t="shared" si="19"/>
        <v>36852</v>
      </c>
      <c r="F45" s="7">
        <f t="shared" si="19"/>
        <v>68593</v>
      </c>
      <c r="G45" s="7">
        <f t="shared" si="19"/>
        <v>79975</v>
      </c>
      <c r="H45" s="83">
        <f t="shared" ca="1" si="19"/>
        <v>92321.205675519945</v>
      </c>
      <c r="I45" s="83">
        <f t="shared" ca="1" si="19"/>
        <v>113228.46655303164</v>
      </c>
      <c r="J45" s="83">
        <f t="shared" ca="1" si="19"/>
        <v>143362.1434811037</v>
      </c>
      <c r="K45" s="83">
        <f t="shared" ca="1" si="19"/>
        <v>166920.07814149396</v>
      </c>
      <c r="L45" s="83">
        <f t="shared" ca="1" si="19"/>
        <v>203378.05077688949</v>
      </c>
    </row>
    <row r="46" spans="2:13" ht="16.2" thickTop="1" x14ac:dyDescent="0.3">
      <c r="B46" s="2"/>
      <c r="H46" s="78"/>
      <c r="I46" s="78"/>
      <c r="J46" s="78"/>
      <c r="K46" s="78"/>
      <c r="L46" s="78"/>
    </row>
    <row r="47" spans="2:13" x14ac:dyDescent="0.3">
      <c r="B47" s="10" t="s">
        <v>70</v>
      </c>
      <c r="C47" s="8">
        <v>448</v>
      </c>
      <c r="D47" s="8">
        <v>989</v>
      </c>
      <c r="E47" s="8">
        <v>2949</v>
      </c>
      <c r="F47" s="8">
        <v>4677</v>
      </c>
      <c r="G47" s="8">
        <v>4381</v>
      </c>
      <c r="H47" s="78"/>
      <c r="I47" s="78"/>
      <c r="J47" s="78"/>
      <c r="K47" s="78"/>
      <c r="L47" s="78"/>
      <c r="M47" s="63"/>
    </row>
    <row r="48" spans="2:13" x14ac:dyDescent="0.3">
      <c r="B48" s="10" t="s">
        <v>71</v>
      </c>
      <c r="C48" s="8">
        <v>1809</v>
      </c>
      <c r="D48" s="8">
        <v>2367</v>
      </c>
      <c r="E48" s="8">
        <v>3182</v>
      </c>
      <c r="F48" s="8">
        <v>2406</v>
      </c>
      <c r="G48" s="8">
        <v>2274</v>
      </c>
      <c r="H48" s="78"/>
      <c r="I48" s="78"/>
      <c r="J48" s="78"/>
      <c r="K48" s="78"/>
      <c r="L48" s="78"/>
    </row>
    <row r="49" spans="1:16" x14ac:dyDescent="0.3">
      <c r="B49" s="10" t="s">
        <v>72</v>
      </c>
      <c r="C49" s="8">
        <f>14651-19</f>
        <v>14632</v>
      </c>
      <c r="D49" s="8">
        <f>-16266-540</f>
        <v>-16806</v>
      </c>
      <c r="E49" s="8">
        <f>1115-177</f>
        <v>938</v>
      </c>
      <c r="F49" s="8">
        <f>-1829-421</f>
        <v>-2250</v>
      </c>
      <c r="G49" s="8">
        <f>15320-91</f>
        <v>15229</v>
      </c>
      <c r="H49" s="78"/>
      <c r="I49" s="78"/>
      <c r="J49" s="78"/>
      <c r="K49" s="78"/>
      <c r="L49" s="78"/>
    </row>
    <row r="50" spans="1:16" x14ac:dyDescent="0.3">
      <c r="H50" s="78"/>
      <c r="I50" s="78"/>
      <c r="J50" s="78"/>
      <c r="K50" s="78"/>
      <c r="L50" s="78"/>
    </row>
    <row r="51" spans="1:16" x14ac:dyDescent="0.3">
      <c r="B51" s="2" t="s">
        <v>73</v>
      </c>
      <c r="C51" s="1">
        <f t="shared" ref="C51:L51" si="20">C45+C47-C48+C49</f>
        <v>38150</v>
      </c>
      <c r="D51" s="1">
        <f t="shared" si="20"/>
        <v>-5936</v>
      </c>
      <c r="E51" s="1">
        <f t="shared" si="20"/>
        <v>37557</v>
      </c>
      <c r="F51" s="1">
        <f t="shared" si="20"/>
        <v>68614</v>
      </c>
      <c r="G51" s="1">
        <f t="shared" si="20"/>
        <v>97311</v>
      </c>
      <c r="H51" s="86">
        <f t="shared" ca="1" si="20"/>
        <v>92321.205675519945</v>
      </c>
      <c r="I51" s="86">
        <f t="shared" ca="1" si="20"/>
        <v>113228.46655303164</v>
      </c>
      <c r="J51" s="86">
        <f t="shared" ca="1" si="20"/>
        <v>143362.1434811037</v>
      </c>
      <c r="K51" s="86">
        <f t="shared" ca="1" si="20"/>
        <v>166920.07814149396</v>
      </c>
      <c r="L51" s="86">
        <f t="shared" ca="1" si="20"/>
        <v>203378.05077688949</v>
      </c>
    </row>
    <row r="52" spans="1:16" x14ac:dyDescent="0.3">
      <c r="B52" s="10" t="s">
        <v>74</v>
      </c>
      <c r="C52" s="8">
        <v>4791</v>
      </c>
      <c r="D52" s="8">
        <v>-3217</v>
      </c>
      <c r="E52" s="8">
        <v>7120</v>
      </c>
      <c r="F52" s="8">
        <v>9265</v>
      </c>
      <c r="G52" s="8">
        <v>19087</v>
      </c>
      <c r="H52" s="82">
        <f ca="1">H51*Assumptions!$D$132</f>
        <v>14917.64825393729</v>
      </c>
      <c r="I52" s="82">
        <f ca="1">I51*Assumptions!$D$132</f>
        <v>18295.93129781574</v>
      </c>
      <c r="J52" s="82">
        <f ca="1">J51*Assumptions!$D$132</f>
        <v>23165.057407267763</v>
      </c>
      <c r="K52" s="82">
        <f ca="1">K51*Assumptions!$D$132</f>
        <v>26971.647456449984</v>
      </c>
      <c r="L52" s="82">
        <f ca="1">L51*Assumptions!$D$132</f>
        <v>32862.679834623465</v>
      </c>
      <c r="M52" s="63"/>
    </row>
    <row r="53" spans="1:16" x14ac:dyDescent="0.3">
      <c r="H53" s="86"/>
      <c r="I53" s="86"/>
      <c r="J53" s="86"/>
      <c r="K53" s="86"/>
      <c r="L53" s="86"/>
    </row>
    <row r="54" spans="1:16" ht="16.2" thickBot="1" x14ac:dyDescent="0.35">
      <c r="B54" s="2" t="s">
        <v>75</v>
      </c>
      <c r="C54" s="7">
        <f t="shared" ref="C54:L54" si="21">C51-C52</f>
        <v>33359</v>
      </c>
      <c r="D54" s="7">
        <f t="shared" si="21"/>
        <v>-2719</v>
      </c>
      <c r="E54" s="7">
        <f t="shared" si="21"/>
        <v>30437</v>
      </c>
      <c r="F54" s="7">
        <f t="shared" si="21"/>
        <v>59349</v>
      </c>
      <c r="G54" s="7">
        <f t="shared" si="21"/>
        <v>78224</v>
      </c>
      <c r="H54" s="83">
        <f t="shared" ca="1" si="21"/>
        <v>77403.557421582649</v>
      </c>
      <c r="I54" s="83">
        <f t="shared" ca="1" si="21"/>
        <v>94932.535255215902</v>
      </c>
      <c r="J54" s="83">
        <f t="shared" ca="1" si="21"/>
        <v>120197.08607383593</v>
      </c>
      <c r="K54" s="83">
        <f t="shared" ca="1" si="21"/>
        <v>139948.43068504398</v>
      </c>
      <c r="L54" s="83">
        <f t="shared" ca="1" si="21"/>
        <v>170515.37094226602</v>
      </c>
    </row>
    <row r="55" spans="1:16" ht="16.2" thickTop="1" x14ac:dyDescent="0.3">
      <c r="H55" s="78"/>
      <c r="I55" s="78"/>
      <c r="J55" s="78"/>
      <c r="K55" s="78"/>
      <c r="L55" s="78"/>
    </row>
    <row r="56" spans="1:16" x14ac:dyDescent="0.3">
      <c r="A56" s="3"/>
      <c r="B56" s="12" t="s">
        <v>76</v>
      </c>
      <c r="C56" s="3"/>
      <c r="D56" s="3"/>
      <c r="E56" s="3"/>
      <c r="F56" s="3"/>
      <c r="G56" s="3"/>
      <c r="H56" s="80"/>
      <c r="I56" s="80"/>
      <c r="J56" s="80"/>
      <c r="K56" s="80"/>
      <c r="L56" s="80"/>
      <c r="M56" s="3"/>
      <c r="N56" s="3"/>
      <c r="O56" s="3"/>
      <c r="P56" s="3"/>
    </row>
    <row r="57" spans="1:16" x14ac:dyDescent="0.3">
      <c r="H57" s="78"/>
      <c r="I57" s="78"/>
      <c r="J57" s="78"/>
      <c r="K57" s="78"/>
      <c r="L57" s="78"/>
    </row>
    <row r="58" spans="1:16" x14ac:dyDescent="0.3">
      <c r="B58" s="1" t="s">
        <v>77</v>
      </c>
      <c r="C58" s="59">
        <v>238800</v>
      </c>
      <c r="D58" s="59">
        <v>283730</v>
      </c>
      <c r="E58" s="59">
        <v>324288</v>
      </c>
      <c r="F58" s="59">
        <v>394055</v>
      </c>
      <c r="G58" s="59">
        <v>534098</v>
      </c>
      <c r="H58" s="118">
        <f>G58+G62</f>
        <v>662418</v>
      </c>
      <c r="I58" s="118">
        <f t="shared" ref="I58:L58" si="22">H58+H62</f>
        <v>851478.37670399994</v>
      </c>
      <c r="J58" s="118">
        <f t="shared" ca="1" si="22"/>
        <v>1027175.3692472059</v>
      </c>
      <c r="K58" s="118">
        <f t="shared" ca="1" si="22"/>
        <v>1203611.1759204285</v>
      </c>
      <c r="L58" s="118">
        <f t="shared" ca="1" si="22"/>
        <v>1366606.7212018541</v>
      </c>
      <c r="M58" s="1" t="str">
        <f ca="1">_xlfn.FORMULATEXT(L58)</f>
        <v>=K58+K62</v>
      </c>
    </row>
    <row r="59" spans="1:16" x14ac:dyDescent="0.3">
      <c r="B59" s="1" t="s">
        <v>78</v>
      </c>
      <c r="C59" s="59">
        <v>78519</v>
      </c>
      <c r="D59" s="59">
        <v>97015</v>
      </c>
      <c r="E59" s="59">
        <v>120111</v>
      </c>
      <c r="F59" s="59">
        <v>141390</v>
      </c>
      <c r="G59" s="59">
        <v>177073</v>
      </c>
      <c r="H59" s="87">
        <f>G58*Assumptions!I104</f>
        <v>186934.3</v>
      </c>
      <c r="I59" s="87">
        <f>H58*Assumptions!J104</f>
        <v>231846.3</v>
      </c>
      <c r="J59" s="87">
        <f>I58*Assumptions!K104</f>
        <v>298017.43184639997</v>
      </c>
      <c r="K59" s="87">
        <f ca="1">J58*Assumptions!L104</f>
        <v>359511.37923652207</v>
      </c>
      <c r="L59" s="87">
        <f ca="1">K58*Assumptions!M104</f>
        <v>421263.91157214995</v>
      </c>
      <c r="M59" s="1" t="str">
        <f ca="1">_xlfn.FORMULATEXT(L59)</f>
        <v>=K58*Assumptions!M104</v>
      </c>
    </row>
    <row r="60" spans="1:16" ht="16.2" thickBot="1" x14ac:dyDescent="0.35">
      <c r="B60" s="1" t="s">
        <v>79</v>
      </c>
      <c r="C60" s="61">
        <f>C58-C59</f>
        <v>160281</v>
      </c>
      <c r="D60" s="61">
        <f>D58-D59</f>
        <v>186715</v>
      </c>
      <c r="E60" s="61">
        <f>E58-E59</f>
        <v>204177</v>
      </c>
      <c r="F60" s="61">
        <f>F58-F59</f>
        <v>252665</v>
      </c>
      <c r="G60" s="61">
        <f t="shared" ref="G60" si="23">G58-G59</f>
        <v>357025</v>
      </c>
      <c r="H60" s="83">
        <f>H58-H59</f>
        <v>475483.7</v>
      </c>
      <c r="I60" s="83">
        <f>I58-I59</f>
        <v>619632.07670399989</v>
      </c>
      <c r="J60" s="83">
        <f ca="1">J58-J59</f>
        <v>729157.937400806</v>
      </c>
      <c r="K60" s="83">
        <f ca="1">K58-K59</f>
        <v>844099.79668390634</v>
      </c>
      <c r="L60" s="83">
        <f ca="1">L58-L59</f>
        <v>945342.8096297041</v>
      </c>
      <c r="M60" s="1" t="str">
        <f ca="1">_xlfn.FORMULATEXT(L60)</f>
        <v>=L58-L59</v>
      </c>
    </row>
    <row r="61" spans="1:16" ht="16.2" thickTop="1" x14ac:dyDescent="0.3">
      <c r="H61" s="86"/>
      <c r="I61" s="86"/>
      <c r="J61" s="86"/>
      <c r="K61" s="86"/>
      <c r="L61" s="86"/>
    </row>
    <row r="62" spans="1:16" x14ac:dyDescent="0.3">
      <c r="B62" s="1" t="s">
        <v>80</v>
      </c>
      <c r="C62" s="1">
        <f>61053-5657</f>
        <v>55396</v>
      </c>
      <c r="D62" s="62">
        <f>63645-5324</f>
        <v>58321</v>
      </c>
      <c r="E62" s="1">
        <f>52729-4596</f>
        <v>48133</v>
      </c>
      <c r="F62" s="1">
        <f>82999-5341</f>
        <v>77658</v>
      </c>
      <c r="G62" s="1">
        <f>131819-3499</f>
        <v>128320</v>
      </c>
      <c r="H62" s="87">
        <f>H28*Assumptions!I98</f>
        <v>189060.37670399994</v>
      </c>
      <c r="I62" s="87">
        <f ca="1">I28*Assumptions!J98</f>
        <v>175696.992543206</v>
      </c>
      <c r="J62" s="87">
        <f ca="1">J28*Assumptions!K98</f>
        <v>176435.80667322254</v>
      </c>
      <c r="K62" s="87">
        <f ca="1">K28*Assumptions!L98</f>
        <v>162995.54528142553</v>
      </c>
      <c r="L62" s="87">
        <f ca="1">L28*Assumptions!M98</f>
        <v>179828.72312571885</v>
      </c>
      <c r="M62" s="1" t="str">
        <f ca="1">_xlfn.FORMULATEXT(L62)</f>
        <v>=L28*Assumptions!M98</v>
      </c>
    </row>
    <row r="63" spans="1:16" x14ac:dyDescent="0.3">
      <c r="B63" s="1" t="s">
        <v>81</v>
      </c>
      <c r="C63" s="62">
        <v>34433</v>
      </c>
      <c r="D63" s="62">
        <v>41921</v>
      </c>
      <c r="E63" s="62">
        <v>48663</v>
      </c>
      <c r="F63" s="62">
        <v>52795</v>
      </c>
      <c r="G63" s="62">
        <v>65756</v>
      </c>
      <c r="H63" s="118">
        <f>G58*H65</f>
        <v>90360.455330438504</v>
      </c>
      <c r="I63" s="118">
        <f t="shared" ref="I63:L63" si="24">H58*I65</f>
        <v>112070.05474478169</v>
      </c>
      <c r="J63" s="118">
        <f t="shared" si="24"/>
        <v>144055.91075607113</v>
      </c>
      <c r="K63" s="118">
        <f t="shared" ca="1" si="24"/>
        <v>173780.90550683363</v>
      </c>
      <c r="L63" s="118">
        <f t="shared" ca="1" si="24"/>
        <v>203630.895260747</v>
      </c>
      <c r="M63" s="76"/>
    </row>
    <row r="64" spans="1:16" x14ac:dyDescent="0.3">
      <c r="C64" s="62"/>
      <c r="D64" s="62"/>
      <c r="E64" s="62"/>
      <c r="F64" s="62"/>
      <c r="G64" s="62"/>
      <c r="H64" s="90"/>
      <c r="I64" s="90"/>
      <c r="J64" s="90"/>
      <c r="K64" s="90"/>
      <c r="L64" s="90"/>
      <c r="M64" s="76"/>
    </row>
    <row r="65" spans="1:16" x14ac:dyDescent="0.3">
      <c r="B65" s="1" t="s">
        <v>82</v>
      </c>
      <c r="C65" s="62"/>
      <c r="D65" s="35">
        <f t="shared" ref="D65:F65" si="25">D63/C58</f>
        <v>0.17554857621440537</v>
      </c>
      <c r="E65" s="35">
        <f t="shared" si="25"/>
        <v>0.17151164839812497</v>
      </c>
      <c r="F65" s="35">
        <f t="shared" si="25"/>
        <v>0.16280281724886519</v>
      </c>
      <c r="G65" s="35">
        <f>G63/F58</f>
        <v>0.16687010696476381</v>
      </c>
      <c r="H65" s="117">
        <f>AVERAGE($D$65:$G$65)</f>
        <v>0.16918328720653983</v>
      </c>
      <c r="I65" s="117">
        <f t="shared" ref="I65:L65" si="26">AVERAGE($D$65:$G$65)</f>
        <v>0.16918328720653983</v>
      </c>
      <c r="J65" s="117">
        <f t="shared" si="26"/>
        <v>0.16918328720653983</v>
      </c>
      <c r="K65" s="117">
        <f t="shared" si="26"/>
        <v>0.16918328720653983</v>
      </c>
      <c r="L65" s="117">
        <f t="shared" si="26"/>
        <v>0.16918328720653983</v>
      </c>
      <c r="M65" s="76"/>
    </row>
    <row r="66" spans="1:16" x14ac:dyDescent="0.3">
      <c r="B66" s="1" t="s">
        <v>83</v>
      </c>
      <c r="C66" s="35"/>
      <c r="D66" s="35">
        <f>(D62-D63)/D29</f>
        <v>0.37136840198365073</v>
      </c>
      <c r="E66" s="35">
        <f t="shared" ref="E66:L66" si="27">(E62-E63)/E29</f>
        <v>-8.7168185257063911E-3</v>
      </c>
      <c r="F66" s="35">
        <f t="shared" si="27"/>
        <v>0.39356380789565326</v>
      </c>
      <c r="G66" s="35">
        <f t="shared" si="27"/>
        <v>0.79230038624707144</v>
      </c>
      <c r="H66" s="35">
        <f t="shared" si="27"/>
        <v>1.3935240462290506</v>
      </c>
      <c r="I66" s="35">
        <f t="shared" ca="1" si="27"/>
        <v>0.70125160774113204</v>
      </c>
      <c r="J66" s="35">
        <f t="shared" ca="1" si="27"/>
        <v>0.31834268259450293</v>
      </c>
      <c r="K66" s="35">
        <f t="shared" ca="1" si="27"/>
        <v>-0.10132993771707263</v>
      </c>
      <c r="L66" s="35">
        <f t="shared" ca="1" si="27"/>
        <v>-0.21210052274619115</v>
      </c>
      <c r="M66" s="76"/>
    </row>
    <row r="67" spans="1:16" x14ac:dyDescent="0.3">
      <c r="C67" s="62"/>
      <c r="D67" s="62"/>
      <c r="E67" s="62"/>
      <c r="F67" s="62"/>
      <c r="G67" s="62"/>
      <c r="H67" s="90"/>
      <c r="I67" s="90"/>
      <c r="J67" s="90"/>
      <c r="K67" s="90"/>
      <c r="L67" s="90"/>
      <c r="M67" s="76"/>
    </row>
    <row r="68" spans="1:16" x14ac:dyDescent="0.3">
      <c r="H68" s="78"/>
      <c r="I68" s="78"/>
      <c r="J68" s="78"/>
      <c r="K68" s="78"/>
      <c r="L68" s="78"/>
    </row>
    <row r="69" spans="1:16" x14ac:dyDescent="0.3">
      <c r="A69" s="3"/>
      <c r="B69" s="12" t="s">
        <v>84</v>
      </c>
      <c r="C69" s="3"/>
      <c r="D69" s="3"/>
      <c r="E69" s="3"/>
      <c r="F69" s="3"/>
      <c r="G69" s="3"/>
      <c r="H69" s="80"/>
      <c r="I69" s="80"/>
      <c r="J69" s="80"/>
      <c r="K69" s="80"/>
      <c r="L69" s="80"/>
      <c r="M69" s="3"/>
      <c r="N69" s="3"/>
      <c r="O69" s="3"/>
      <c r="P69" s="3"/>
    </row>
    <row r="70" spans="1:16" x14ac:dyDescent="0.3">
      <c r="H70" s="78"/>
      <c r="I70" s="78"/>
      <c r="J70" s="78"/>
      <c r="K70" s="78"/>
      <c r="L70" s="78"/>
    </row>
    <row r="71" spans="1:16" x14ac:dyDescent="0.3">
      <c r="B71" s="2" t="s">
        <v>85</v>
      </c>
      <c r="H71" s="78"/>
      <c r="I71" s="78"/>
      <c r="J71" s="78"/>
      <c r="K71" s="78"/>
      <c r="L71" s="78"/>
    </row>
    <row r="72" spans="1:16" x14ac:dyDescent="0.3">
      <c r="B72" s="10" t="s">
        <v>86</v>
      </c>
      <c r="C72" s="8">
        <v>32891</v>
      </c>
      <c r="D72" s="8">
        <v>42360</v>
      </c>
      <c r="E72" s="8">
        <v>52253</v>
      </c>
      <c r="F72" s="8">
        <v>55451</v>
      </c>
      <c r="G72" s="8">
        <v>67729</v>
      </c>
      <c r="H72" s="87">
        <f>H87*H28</f>
        <v>72709.469874079979</v>
      </c>
      <c r="I72" s="87">
        <f ca="1">I87*I28</f>
        <v>80381.374088516735</v>
      </c>
      <c r="J72" s="87">
        <f ca="1">J87*J28</f>
        <v>92530.778610845606</v>
      </c>
      <c r="K72" s="87">
        <f ca="1">K87*K28</f>
        <v>97797.327168855307</v>
      </c>
      <c r="L72" s="87">
        <f ca="1">L87*L28</f>
        <v>106698.37572125986</v>
      </c>
      <c r="M72" s="63"/>
    </row>
    <row r="73" spans="1:16" x14ac:dyDescent="0.3">
      <c r="B73" s="10" t="s">
        <v>87</v>
      </c>
      <c r="C73" s="8">
        <v>32640</v>
      </c>
      <c r="D73" s="8">
        <v>34405</v>
      </c>
      <c r="E73" s="8">
        <v>33318</v>
      </c>
      <c r="F73" s="8">
        <v>34214</v>
      </c>
      <c r="G73" s="8">
        <v>38325</v>
      </c>
      <c r="H73" s="87">
        <f>H88*H28</f>
        <v>41672.058031839995</v>
      </c>
      <c r="I73" s="87">
        <f ca="1">I88*I28</f>
        <v>45066.278587332337</v>
      </c>
      <c r="J73" s="87">
        <f ca="1">J88*J28</f>
        <v>49304.005975906075</v>
      </c>
      <c r="K73" s="87">
        <f ca="1">K88*K28</f>
        <v>53245.211458599006</v>
      </c>
      <c r="L73" s="87">
        <f ca="1">L88*L28</f>
        <v>57305.419769395747</v>
      </c>
      <c r="M73" s="63"/>
    </row>
    <row r="74" spans="1:16" x14ac:dyDescent="0.3">
      <c r="B74" s="64"/>
      <c r="C74" s="72"/>
      <c r="D74" s="72"/>
      <c r="E74" s="72"/>
      <c r="F74" s="72"/>
      <c r="G74" s="72"/>
      <c r="H74" s="88"/>
      <c r="I74" s="88"/>
      <c r="J74" s="88"/>
      <c r="K74" s="88"/>
      <c r="L74" s="88"/>
    </row>
    <row r="75" spans="1:16" ht="16.2" thickBot="1" x14ac:dyDescent="0.35">
      <c r="B75" s="2" t="s">
        <v>88</v>
      </c>
      <c r="C75" s="7">
        <f t="shared" ref="C75:L75" si="28">C72+C73</f>
        <v>65531</v>
      </c>
      <c r="D75" s="7">
        <f t="shared" si="28"/>
        <v>76765</v>
      </c>
      <c r="E75" s="7">
        <f t="shared" si="28"/>
        <v>85571</v>
      </c>
      <c r="F75" s="7">
        <f t="shared" si="28"/>
        <v>89665</v>
      </c>
      <c r="G75" s="7">
        <f t="shared" si="28"/>
        <v>106054</v>
      </c>
      <c r="H75" s="83">
        <f t="shared" si="28"/>
        <v>114381.52790591997</v>
      </c>
      <c r="I75" s="83">
        <f t="shared" ca="1" si="28"/>
        <v>125447.65267584907</v>
      </c>
      <c r="J75" s="83">
        <f t="shared" ca="1" si="28"/>
        <v>141834.78458675169</v>
      </c>
      <c r="K75" s="83">
        <f t="shared" ca="1" si="28"/>
        <v>151042.53862745431</v>
      </c>
      <c r="L75" s="83">
        <f t="shared" ca="1" si="28"/>
        <v>164003.79549065561</v>
      </c>
    </row>
    <row r="76" spans="1:16" ht="16.2" thickTop="1" x14ac:dyDescent="0.3">
      <c r="H76" s="86"/>
      <c r="I76" s="86"/>
      <c r="J76" s="86"/>
      <c r="K76" s="86"/>
      <c r="L76" s="86"/>
    </row>
    <row r="77" spans="1:16" x14ac:dyDescent="0.3">
      <c r="B77" s="2" t="s">
        <v>89</v>
      </c>
      <c r="H77" s="86"/>
      <c r="I77" s="86"/>
      <c r="J77" s="86"/>
      <c r="K77" s="86"/>
      <c r="L77" s="86"/>
    </row>
    <row r="78" spans="1:16" x14ac:dyDescent="0.3">
      <c r="B78" s="10" t="s">
        <v>90</v>
      </c>
      <c r="C78" s="8">
        <v>78664</v>
      </c>
      <c r="D78" s="8">
        <v>79600</v>
      </c>
      <c r="E78" s="8">
        <v>84891</v>
      </c>
      <c r="F78" s="8">
        <v>94363</v>
      </c>
      <c r="G78" s="8">
        <v>121909</v>
      </c>
      <c r="H78" s="87">
        <f ca="1">H90*H43</f>
        <v>120340.4294335181</v>
      </c>
      <c r="I78" s="87">
        <f ca="1">I90*I43</f>
        <v>129765.4592071377</v>
      </c>
      <c r="J78" s="87">
        <f ca="1">J90*J43</f>
        <v>132144.0499900245</v>
      </c>
      <c r="K78" s="87">
        <f ca="1">K90*K43</f>
        <v>148143.12479295328</v>
      </c>
      <c r="L78" s="87">
        <f ca="1">L90*L43</f>
        <v>156943.6725935452</v>
      </c>
    </row>
    <row r="79" spans="1:16" x14ac:dyDescent="0.3">
      <c r="B79" s="10" t="s">
        <v>91</v>
      </c>
      <c r="C79" s="8">
        <v>51775</v>
      </c>
      <c r="D79" s="8">
        <v>62566</v>
      </c>
      <c r="E79" s="8">
        <v>64709</v>
      </c>
      <c r="F79" s="8">
        <v>66965</v>
      </c>
      <c r="G79" s="8">
        <v>75520</v>
      </c>
      <c r="H79" s="87">
        <f ca="1">H91*H43</f>
        <v>81050.004537681074</v>
      </c>
      <c r="I79" s="87">
        <f ca="1">I91*I43</f>
        <v>85730.520769932962</v>
      </c>
      <c r="J79" s="87">
        <f ca="1">J91*J43</f>
        <v>94042.579655397145</v>
      </c>
      <c r="K79" s="87">
        <f ca="1">K91*K43</f>
        <v>98958.932449962536</v>
      </c>
      <c r="L79" s="87">
        <f ca="1">L91*L43</f>
        <v>105301.77448123314</v>
      </c>
    </row>
    <row r="80" spans="1:16" x14ac:dyDescent="0.3">
      <c r="B80" s="64"/>
      <c r="C80" s="73"/>
      <c r="D80" s="73"/>
      <c r="E80" s="73"/>
      <c r="F80" s="73"/>
      <c r="G80" s="73"/>
      <c r="H80" s="88"/>
      <c r="I80" s="88"/>
      <c r="J80" s="88"/>
      <c r="K80" s="88"/>
      <c r="L80" s="88"/>
    </row>
    <row r="81" spans="2:12" ht="16.2" thickBot="1" x14ac:dyDescent="0.35">
      <c r="C81" s="7">
        <f t="shared" ref="C81:L81" si="29">C78+C79</f>
        <v>130439</v>
      </c>
      <c r="D81" s="7">
        <f t="shared" si="29"/>
        <v>142166</v>
      </c>
      <c r="E81" s="7">
        <f t="shared" si="29"/>
        <v>149600</v>
      </c>
      <c r="F81" s="7">
        <f t="shared" si="29"/>
        <v>161328</v>
      </c>
      <c r="G81" s="7">
        <f t="shared" si="29"/>
        <v>197429</v>
      </c>
      <c r="H81" s="83">
        <f t="shared" ca="1" si="29"/>
        <v>201390.43397119918</v>
      </c>
      <c r="I81" s="83">
        <f t="shared" ca="1" si="29"/>
        <v>215495.97997707064</v>
      </c>
      <c r="J81" s="83">
        <f t="shared" ca="1" si="29"/>
        <v>226186.62964542164</v>
      </c>
      <c r="K81" s="83">
        <f t="shared" ca="1" si="29"/>
        <v>247102.05724291582</v>
      </c>
      <c r="L81" s="83">
        <f t="shared" ca="1" si="29"/>
        <v>262245.44707477832</v>
      </c>
    </row>
    <row r="82" spans="2:12" hidden="1" x14ac:dyDescent="0.3">
      <c r="B82" s="1" t="s">
        <v>92</v>
      </c>
      <c r="C82" s="1">
        <f>C75-C81</f>
        <v>-64908</v>
      </c>
      <c r="D82" s="1">
        <f>D75-D81</f>
        <v>-65401</v>
      </c>
      <c r="E82" s="1">
        <f>E75-E81</f>
        <v>-64029</v>
      </c>
      <c r="F82" s="1">
        <f>F75-F81</f>
        <v>-71663</v>
      </c>
      <c r="G82" s="1">
        <f>G75-G81</f>
        <v>-91375</v>
      </c>
      <c r="H82" s="78"/>
      <c r="I82" s="78"/>
      <c r="J82" s="78"/>
      <c r="K82" s="78"/>
      <c r="L82" s="78"/>
    </row>
    <row r="83" spans="2:12" hidden="1" x14ac:dyDescent="0.3">
      <c r="B83" s="1" t="s">
        <v>93</v>
      </c>
      <c r="D83" s="1">
        <f>D82-C82</f>
        <v>-493</v>
      </c>
      <c r="E83" s="1">
        <f t="shared" ref="E83:G83" si="30">E82-D82</f>
        <v>1372</v>
      </c>
      <c r="F83" s="1">
        <f t="shared" si="30"/>
        <v>-7634</v>
      </c>
      <c r="G83" s="1">
        <f t="shared" si="30"/>
        <v>-19712</v>
      </c>
      <c r="H83" s="78"/>
      <c r="I83" s="78"/>
      <c r="J83" s="78"/>
      <c r="K83" s="78"/>
      <c r="L83" s="78"/>
    </row>
    <row r="84" spans="2:12" hidden="1" x14ac:dyDescent="0.3">
      <c r="B84" s="1" t="s">
        <v>94</v>
      </c>
      <c r="D84" s="74">
        <f>D83/D29</f>
        <v>-1.1163696474264623E-2</v>
      </c>
      <c r="E84" s="74">
        <f>E83/E29</f>
        <v>2.2565047202394658E-2</v>
      </c>
      <c r="F84" s="74">
        <f>F83/F29</f>
        <v>-0.12084085224934309</v>
      </c>
      <c r="G84" s="74">
        <f>G83/G29</f>
        <v>-0.24962958272652441</v>
      </c>
      <c r="H84" s="78"/>
      <c r="I84" s="78"/>
      <c r="J84" s="78"/>
      <c r="K84" s="78"/>
      <c r="L84" s="78"/>
    </row>
    <row r="85" spans="2:12" ht="16.2" thickTop="1" x14ac:dyDescent="0.3">
      <c r="H85" s="78"/>
      <c r="I85" s="78"/>
      <c r="J85" s="78"/>
      <c r="K85" s="78"/>
      <c r="L85" s="78"/>
    </row>
    <row r="86" spans="2:12" x14ac:dyDescent="0.3">
      <c r="B86" s="2" t="s">
        <v>95</v>
      </c>
      <c r="H86" s="78"/>
      <c r="I86" s="78"/>
      <c r="J86" s="78"/>
      <c r="K86" s="78"/>
      <c r="L86" s="78"/>
    </row>
    <row r="87" spans="2:12" x14ac:dyDescent="0.3">
      <c r="B87" s="13" t="s">
        <v>96</v>
      </c>
      <c r="C87" s="51">
        <f>C72/C28</f>
        <v>7.0007364491232849E-2</v>
      </c>
      <c r="D87" s="51">
        <f>D72/D28</f>
        <v>8.2415177155664682E-2</v>
      </c>
      <c r="E87" s="51">
        <f>E72/E28</f>
        <v>9.0908774585279711E-2</v>
      </c>
      <c r="F87" s="51">
        <f>F72/F28</f>
        <v>8.6919378831555011E-2</v>
      </c>
      <c r="G87" s="51">
        <f>G72/G28</f>
        <v>9.4471659478550032E-2</v>
      </c>
      <c r="H87" s="52">
        <f>Assumptions!I110</f>
        <v>9.2299999999999993E-2</v>
      </c>
      <c r="I87" s="52">
        <f>Assumptions!J110</f>
        <v>9.1499999999999998E-2</v>
      </c>
      <c r="J87" s="52">
        <f>Assumptions!K110</f>
        <v>9.4399999999999998E-2</v>
      </c>
      <c r="K87" s="52">
        <f>Assumptions!L110</f>
        <v>0.09</v>
      </c>
      <c r="L87" s="52">
        <f>Assumptions!M110</f>
        <v>8.8999999999999996E-2</v>
      </c>
    </row>
    <row r="88" spans="2:12" x14ac:dyDescent="0.3">
      <c r="B88" s="13" t="s">
        <v>97</v>
      </c>
      <c r="C88" s="51">
        <f>C73/C28</f>
        <v>6.9473119607000103E-2</v>
      </c>
      <c r="D88" s="51">
        <f>D73/D28</f>
        <v>6.6938011568475994E-2</v>
      </c>
      <c r="E88" s="51">
        <f>E73/E28</f>
        <v>5.7966022077820402E-2</v>
      </c>
      <c r="F88" s="51">
        <f>F73/F28</f>
        <v>5.3630405715727816E-2</v>
      </c>
      <c r="G88" s="51">
        <f>G73/G28</f>
        <v>5.345754919628859E-2</v>
      </c>
      <c r="H88" s="52">
        <f>Assumptions!I116</f>
        <v>5.2900000000000003E-2</v>
      </c>
      <c r="I88" s="52">
        <f>Assumptions!J116</f>
        <v>5.1299999999999998E-2</v>
      </c>
      <c r="J88" s="52">
        <f>Assumptions!K116</f>
        <v>5.0299999999999997E-2</v>
      </c>
      <c r="K88" s="52">
        <f>Assumptions!L116</f>
        <v>4.9000000000000002E-2</v>
      </c>
      <c r="L88" s="52">
        <f>Assumptions!M116</f>
        <v>4.7800000000000002E-2</v>
      </c>
    </row>
    <row r="89" spans="2:12" x14ac:dyDescent="0.3">
      <c r="B89" s="13"/>
      <c r="C89" s="37"/>
      <c r="D89" s="37"/>
      <c r="E89" s="37"/>
      <c r="F89" s="37"/>
      <c r="G89" s="37"/>
      <c r="H89" s="47"/>
      <c r="I89" s="37"/>
      <c r="J89" s="37"/>
      <c r="K89" s="37"/>
      <c r="L89" s="37"/>
    </row>
    <row r="90" spans="2:12" x14ac:dyDescent="0.3">
      <c r="B90" s="13" t="s">
        <v>40</v>
      </c>
      <c r="C90" s="51">
        <f>C78/C43</f>
        <v>0.45576162086686484</v>
      </c>
      <c r="D90" s="51">
        <f>D78/D43</f>
        <v>0.37387742832450305</v>
      </c>
      <c r="E90" s="51">
        <f>E78/E43</f>
        <v>0.36403595289758739</v>
      </c>
      <c r="F90" s="51">
        <f>F78/F43</f>
        <v>0.38820049531426126</v>
      </c>
      <c r="G90" s="51">
        <f>G78/G43</f>
        <v>0.4345589676867414</v>
      </c>
      <c r="H90" s="52">
        <f>Assumptions!I122</f>
        <v>0.38990000000000002</v>
      </c>
      <c r="I90" s="52">
        <f>Assumptions!J122</f>
        <v>0.37719999999999998</v>
      </c>
      <c r="J90" s="52">
        <f>Assumptions!K122</f>
        <v>0.34370000000000001</v>
      </c>
      <c r="K90" s="52">
        <f>Assumptions!L122</f>
        <v>0.35120000000000001</v>
      </c>
      <c r="L90" s="52">
        <f>Assumptions!M122</f>
        <v>0.3422</v>
      </c>
    </row>
    <row r="91" spans="2:12" x14ac:dyDescent="0.3">
      <c r="B91" s="13" t="s">
        <v>41</v>
      </c>
      <c r="C91" s="51">
        <f>C79/C43</f>
        <v>0.29997276925127031</v>
      </c>
      <c r="D91" s="51">
        <f>D79/D43</f>
        <v>0.29386953744410627</v>
      </c>
      <c r="E91" s="51">
        <f>E79/E43</f>
        <v>0.27748998687787851</v>
      </c>
      <c r="F91" s="51">
        <f>F79/F43</f>
        <v>0.27548770353549068</v>
      </c>
      <c r="G91" s="51">
        <f>G79/G43</f>
        <v>0.26919992157841266</v>
      </c>
      <c r="H91" s="52">
        <f>Assumptions!I128</f>
        <v>0.2626</v>
      </c>
      <c r="I91" s="52">
        <f>Assumptions!J128</f>
        <v>0.2492</v>
      </c>
      <c r="J91" s="52">
        <f>Assumptions!K128</f>
        <v>0.24460000000000001</v>
      </c>
      <c r="K91" s="52">
        <f>Assumptions!L128</f>
        <v>0.2346</v>
      </c>
      <c r="L91" s="52">
        <f>Assumptions!M128</f>
        <v>0.2296</v>
      </c>
    </row>
    <row r="92" spans="2:12" x14ac:dyDescent="0.3">
      <c r="H92" s="78"/>
      <c r="I92" s="78"/>
      <c r="J92" s="78"/>
      <c r="K92" s="78"/>
      <c r="L92" s="78"/>
    </row>
    <row r="93" spans="2:12" ht="16.2" thickBot="1" x14ac:dyDescent="0.35">
      <c r="B93" s="2" t="s">
        <v>98</v>
      </c>
      <c r="C93" s="169"/>
      <c r="D93" s="169">
        <f t="shared" ref="D93:L93" si="31">(D75-C75)-(D81-C81)</f>
        <v>-493</v>
      </c>
      <c r="E93" s="169">
        <f t="shared" si="31"/>
        <v>1372</v>
      </c>
      <c r="F93" s="169">
        <f t="shared" si="31"/>
        <v>-7634</v>
      </c>
      <c r="G93" s="169">
        <f t="shared" si="31"/>
        <v>-19712</v>
      </c>
      <c r="H93" s="89">
        <f t="shared" ca="1" si="31"/>
        <v>4366.0939347207895</v>
      </c>
      <c r="I93" s="89">
        <f t="shared" ca="1" si="31"/>
        <v>-3039.4212359423691</v>
      </c>
      <c r="J93" s="89">
        <f t="shared" ca="1" si="31"/>
        <v>5696.4822425516322</v>
      </c>
      <c r="K93" s="89">
        <f t="shared" ca="1" si="31"/>
        <v>-11707.67355679156</v>
      </c>
      <c r="L93" s="89">
        <f t="shared" ca="1" si="31"/>
        <v>-2182.1329686612007</v>
      </c>
    </row>
    <row r="94" spans="2:12" ht="16.2" thickTop="1" x14ac:dyDescent="0.3"/>
  </sheetData>
  <mergeCells count="2">
    <mergeCell ref="C2:G2"/>
    <mergeCell ref="H2:L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EAE6-9030-C444-8888-3CE27631200C}">
  <dimension ref="B2:G13"/>
  <sheetViews>
    <sheetView showGridLines="0" zoomScaleNormal="100" workbookViewId="0">
      <selection activeCell="C12" sqref="C12"/>
    </sheetView>
  </sheetViews>
  <sheetFormatPr defaultColWidth="10.69921875" defaultRowHeight="15.6" x14ac:dyDescent="0.3"/>
  <cols>
    <col min="1" max="1" width="10.69921875" style="1"/>
    <col min="2" max="2" width="46" style="1" customWidth="1"/>
    <col min="3" max="3" width="10.8984375" style="1" bestFit="1" customWidth="1"/>
    <col min="4" max="7" width="11.09765625" style="1" bestFit="1" customWidth="1"/>
    <col min="8" max="16384" width="10.69921875" style="1"/>
  </cols>
  <sheetData>
    <row r="2" spans="2:7" x14ac:dyDescent="0.3">
      <c r="G2" s="116" t="str">
        <f>"CURRENTLY VIEWING "&amp;CHOOSE(Assumptions!$D$3,"DOWNSIDE","BASE","UPSIDE")&amp;" CASE"</f>
        <v>CURRENTLY VIEWING BASE CASE</v>
      </c>
    </row>
    <row r="3" spans="2:7" x14ac:dyDescent="0.3">
      <c r="B3" s="4" t="s">
        <v>99</v>
      </c>
      <c r="C3" s="188" t="s">
        <v>45</v>
      </c>
      <c r="D3" s="188"/>
      <c r="E3" s="188"/>
      <c r="F3" s="188"/>
      <c r="G3" s="188"/>
    </row>
    <row r="4" spans="2:7" x14ac:dyDescent="0.3">
      <c r="B4" s="4" t="s">
        <v>46</v>
      </c>
      <c r="C4" s="6">
        <v>2026</v>
      </c>
      <c r="D4" s="6">
        <f t="shared" ref="D4:G4" si="0">C4+1</f>
        <v>2027</v>
      </c>
      <c r="E4" s="6">
        <f t="shared" si="0"/>
        <v>2028</v>
      </c>
      <c r="F4" s="6">
        <f t="shared" si="0"/>
        <v>2029</v>
      </c>
      <c r="G4" s="6">
        <f t="shared" si="0"/>
        <v>2030</v>
      </c>
    </row>
    <row r="6" spans="2:7" x14ac:dyDescent="0.3">
      <c r="B6" s="1" t="s">
        <v>69</v>
      </c>
      <c r="C6" s="111">
        <f ca="1">'FCF Components'!H45</f>
        <v>92321.205675519945</v>
      </c>
      <c r="D6" s="111">
        <f ca="1">'FCF Components'!I45</f>
        <v>113228.46655303164</v>
      </c>
      <c r="E6" s="111">
        <f ca="1">'FCF Components'!J45</f>
        <v>143362.1434811037</v>
      </c>
      <c r="F6" s="111">
        <f ca="1">'FCF Components'!K45</f>
        <v>166920.07814149396</v>
      </c>
      <c r="G6" s="111">
        <f ca="1">'FCF Components'!L45</f>
        <v>203378.05077688949</v>
      </c>
    </row>
    <row r="7" spans="2:7" x14ac:dyDescent="0.3">
      <c r="B7" s="1" t="s">
        <v>100</v>
      </c>
      <c r="C7" s="112">
        <f>'WACC Calculation'!$K$9</f>
        <v>0.83841579900539709</v>
      </c>
      <c r="D7" s="112">
        <f>'WACC Calculation'!$K$9</f>
        <v>0.83841579900539709</v>
      </c>
      <c r="E7" s="112">
        <f>'WACC Calculation'!$K$9</f>
        <v>0.83841579900539709</v>
      </c>
      <c r="F7" s="112">
        <f>'WACC Calculation'!$K$9</f>
        <v>0.83841579900539709</v>
      </c>
      <c r="G7" s="112">
        <f>'WACC Calculation'!$K$9</f>
        <v>0.83841579900539709</v>
      </c>
    </row>
    <row r="8" spans="2:7" x14ac:dyDescent="0.3">
      <c r="B8" s="1" t="s">
        <v>101</v>
      </c>
      <c r="C8" s="113">
        <f ca="1">C6*C7</f>
        <v>77403.557421582649</v>
      </c>
      <c r="D8" s="113">
        <f ca="1">D6*D7</f>
        <v>94932.535255215902</v>
      </c>
      <c r="E8" s="113">
        <f ca="1">E6*E7</f>
        <v>120197.08607383595</v>
      </c>
      <c r="F8" s="113">
        <f ca="1">F6*F7</f>
        <v>139948.43068504398</v>
      </c>
      <c r="G8" s="113">
        <f ca="1">G6*G7</f>
        <v>170515.37094226602</v>
      </c>
    </row>
    <row r="9" spans="2:7" x14ac:dyDescent="0.3">
      <c r="B9" s="1" t="s">
        <v>81</v>
      </c>
      <c r="C9" s="112">
        <f>'FCF Components'!H63</f>
        <v>90360.455330438504</v>
      </c>
      <c r="D9" s="112">
        <f>'FCF Components'!I63</f>
        <v>112070.05474478169</v>
      </c>
      <c r="E9" s="112">
        <f>'FCF Components'!J63</f>
        <v>144055.91075607113</v>
      </c>
      <c r="F9" s="112">
        <f ca="1">'FCF Components'!K63</f>
        <v>173780.90550683363</v>
      </c>
      <c r="G9" s="112">
        <f ca="1">'FCF Components'!L63</f>
        <v>203630.895260747</v>
      </c>
    </row>
    <row r="10" spans="2:7" x14ac:dyDescent="0.3">
      <c r="B10" s="1" t="s">
        <v>102</v>
      </c>
      <c r="C10" s="112">
        <f>'FCF Components'!H62</f>
        <v>189060.37670399994</v>
      </c>
      <c r="D10" s="112">
        <f ca="1">'FCF Components'!I62</f>
        <v>175696.992543206</v>
      </c>
      <c r="E10" s="112">
        <f ca="1">'FCF Components'!J62</f>
        <v>176435.80667322254</v>
      </c>
      <c r="F10" s="112">
        <f ca="1">'FCF Components'!K62</f>
        <v>162995.54528142553</v>
      </c>
      <c r="G10" s="112">
        <f ca="1">'FCF Components'!L62</f>
        <v>179828.72312571885</v>
      </c>
    </row>
    <row r="11" spans="2:7" x14ac:dyDescent="0.3">
      <c r="B11" s="1" t="s">
        <v>98</v>
      </c>
      <c r="C11" s="112">
        <f ca="1">'FCF Components'!H93</f>
        <v>4366.0939347207895</v>
      </c>
      <c r="D11" s="112">
        <f ca="1">'FCF Components'!I93</f>
        <v>-3039.4212359423691</v>
      </c>
      <c r="E11" s="112">
        <f ca="1">'FCF Components'!J93</f>
        <v>5696.4822425516322</v>
      </c>
      <c r="F11" s="112">
        <f ca="1">'FCF Components'!K93</f>
        <v>-11707.67355679156</v>
      </c>
      <c r="G11" s="112">
        <f ca="1">'FCF Components'!L93</f>
        <v>-2182.1329686612007</v>
      </c>
    </row>
    <row r="12" spans="2:7" ht="16.2" thickBot="1" x14ac:dyDescent="0.35">
      <c r="B12" s="2" t="s">
        <v>103</v>
      </c>
      <c r="C12" s="114">
        <f ca="1">C8+C9-C10-C11</f>
        <v>-25662.457886699587</v>
      </c>
      <c r="D12" s="114">
        <f ca="1">D8+D9-D10-D11</f>
        <v>34345.018692733953</v>
      </c>
      <c r="E12" s="114">
        <f ca="1">E8+E9-E10-E11</f>
        <v>82120.707914132887</v>
      </c>
      <c r="F12" s="114">
        <f ca="1">F8+F9-F10-F11</f>
        <v>162441.46446724364</v>
      </c>
      <c r="G12" s="114">
        <f ca="1">G8+G9-G10-G11</f>
        <v>196499.67604595536</v>
      </c>
    </row>
    <row r="13" spans="2:7" ht="16.2" thickTop="1" x14ac:dyDescent="0.3"/>
  </sheetData>
  <mergeCells count="1">
    <mergeCell ref="C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3D7B-1322-3C49-B649-72F72D1B6FCB}">
  <dimension ref="B2:K13"/>
  <sheetViews>
    <sheetView showGridLines="0" zoomScale="85" zoomScaleNormal="85" workbookViewId="0">
      <selection activeCell="I19" sqref="I19"/>
    </sheetView>
  </sheetViews>
  <sheetFormatPr defaultColWidth="10.69921875" defaultRowHeight="15.6" x14ac:dyDescent="0.3"/>
  <cols>
    <col min="1" max="1" width="10.69921875" style="1"/>
    <col min="2" max="2" width="19.19921875" style="1" bestFit="1" customWidth="1"/>
    <col min="3" max="3" width="10.69921875" style="1"/>
    <col min="4" max="4" width="23.5" style="1" bestFit="1" customWidth="1"/>
    <col min="5" max="6" width="10.69921875" style="1"/>
    <col min="7" max="7" width="20.5" style="1" bestFit="1" customWidth="1"/>
    <col min="8" max="9" width="10.69921875" style="1"/>
    <col min="10" max="10" width="20.5" style="1" bestFit="1" customWidth="1"/>
    <col min="11" max="16384" width="10.69921875" style="1"/>
  </cols>
  <sheetData>
    <row r="2" spans="2:11" ht="16.2" thickBot="1" x14ac:dyDescent="0.35"/>
    <row r="3" spans="2:11" x14ac:dyDescent="0.3">
      <c r="B3" s="4" t="s">
        <v>104</v>
      </c>
      <c r="D3" s="189" t="s">
        <v>105</v>
      </c>
      <c r="E3" s="190"/>
      <c r="G3" s="189" t="s">
        <v>106</v>
      </c>
      <c r="H3" s="190"/>
      <c r="J3" s="191" t="s">
        <v>107</v>
      </c>
      <c r="K3" s="192"/>
    </row>
    <row r="4" spans="2:11" x14ac:dyDescent="0.3">
      <c r="D4" s="17" t="s">
        <v>108</v>
      </c>
      <c r="E4" s="38">
        <v>4.2290000000000001E-2</v>
      </c>
      <c r="G4" s="17" t="s">
        <v>71</v>
      </c>
      <c r="H4" s="18">
        <f>'FCF Components'!G48</f>
        <v>2274</v>
      </c>
      <c r="J4" s="21" t="s">
        <v>109</v>
      </c>
      <c r="K4" s="54">
        <f>E7</f>
        <v>0.10383799999999999</v>
      </c>
    </row>
    <row r="5" spans="2:11" x14ac:dyDescent="0.3">
      <c r="D5" s="17" t="s">
        <v>110</v>
      </c>
      <c r="E5" s="18">
        <v>1.38</v>
      </c>
      <c r="G5" s="17" t="s">
        <v>111</v>
      </c>
      <c r="H5" s="18">
        <v>65648</v>
      </c>
      <c r="J5" s="21" t="s">
        <v>112</v>
      </c>
      <c r="K5" s="54">
        <f>F12</f>
        <v>0.8622903088441054</v>
      </c>
    </row>
    <row r="6" spans="2:11" ht="16.2" thickBot="1" x14ac:dyDescent="0.35">
      <c r="D6" s="17" t="s">
        <v>113</v>
      </c>
      <c r="E6" s="38">
        <f>E4+4.46%</f>
        <v>8.6889999999999995E-2</v>
      </c>
      <c r="G6" s="19" t="s">
        <v>106</v>
      </c>
      <c r="H6" s="39">
        <f>H4/H5</f>
        <v>3.46392883256154E-2</v>
      </c>
      <c r="J6" s="21"/>
      <c r="K6" s="55"/>
    </row>
    <row r="7" spans="2:11" ht="16.2" thickBot="1" x14ac:dyDescent="0.35">
      <c r="D7" s="19" t="s">
        <v>109</v>
      </c>
      <c r="E7" s="39">
        <f>E5*(E6-E4)+E4</f>
        <v>0.10383799999999999</v>
      </c>
      <c r="J7" s="21" t="s">
        <v>106</v>
      </c>
      <c r="K7" s="54">
        <v>0.06</v>
      </c>
    </row>
    <row r="8" spans="2:11" x14ac:dyDescent="0.3">
      <c r="J8" s="21" t="s">
        <v>114</v>
      </c>
      <c r="K8" s="54">
        <f>F13</f>
        <v>0.1377096911558946</v>
      </c>
    </row>
    <row r="9" spans="2:11" x14ac:dyDescent="0.3">
      <c r="J9" s="21" t="s">
        <v>100</v>
      </c>
      <c r="K9" s="54">
        <f>1-Assumptions!D132</f>
        <v>0.83841579900539709</v>
      </c>
    </row>
    <row r="10" spans="2:11" ht="16.2" thickBot="1" x14ac:dyDescent="0.35">
      <c r="J10" s="21"/>
      <c r="K10" s="23"/>
    </row>
    <row r="11" spans="2:11" ht="16.2" thickBot="1" x14ac:dyDescent="0.35">
      <c r="D11" s="40" t="s">
        <v>115</v>
      </c>
      <c r="E11" s="170" t="s">
        <v>116</v>
      </c>
      <c r="F11" s="43" t="s">
        <v>117</v>
      </c>
      <c r="J11" s="22" t="s">
        <v>107</v>
      </c>
      <c r="K11" s="53">
        <f>K4*K5+K7*K8*K9</f>
        <v>9.6465979934229562E-2</v>
      </c>
    </row>
    <row r="12" spans="2:11" x14ac:dyDescent="0.3">
      <c r="D12" s="41" t="s">
        <v>118</v>
      </c>
      <c r="E12" s="1">
        <v>411065</v>
      </c>
      <c r="F12" s="56">
        <f>E12/(E12+E13)</f>
        <v>0.8622903088441054</v>
      </c>
    </row>
    <row r="13" spans="2:11" ht="16.2" thickBot="1" x14ac:dyDescent="0.35">
      <c r="D13" s="42" t="s">
        <v>119</v>
      </c>
      <c r="E13" s="171">
        <f>H5</f>
        <v>65648</v>
      </c>
      <c r="F13" s="57">
        <f>1-F12</f>
        <v>0.1377096911558946</v>
      </c>
    </row>
  </sheetData>
  <mergeCells count="3">
    <mergeCell ref="D3:E3"/>
    <mergeCell ref="G3:H3"/>
    <mergeCell ref="J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D5D0-A5D6-3346-BF9C-C3F1A76EF0BD}">
  <dimension ref="A2:S26"/>
  <sheetViews>
    <sheetView showGridLines="0" tabSelected="1" workbookViewId="0">
      <selection activeCell="E11" sqref="E11"/>
    </sheetView>
  </sheetViews>
  <sheetFormatPr defaultColWidth="10.69921875" defaultRowHeight="15.6" x14ac:dyDescent="0.3"/>
  <cols>
    <col min="1" max="1" width="10.69921875" style="1"/>
    <col min="2" max="2" width="23.5" style="1" bestFit="1" customWidth="1"/>
    <col min="3" max="8" width="10.69921875" style="1"/>
    <col min="9" max="9" width="19.69921875" style="1" bestFit="1" customWidth="1"/>
    <col min="10" max="14" width="10.69921875" style="1"/>
    <col min="15" max="19" width="11.09765625" style="1" customWidth="1"/>
    <col min="20" max="16384" width="10.69921875" style="1"/>
  </cols>
  <sheetData>
    <row r="2" spans="1:19" ht="16.2" thickBot="1" x14ac:dyDescent="0.35">
      <c r="G2" s="116" t="str">
        <f>"CURRENTLY VIEWING "&amp;CHOOSE(Assumptions!$D$3,"DOWNSIDE","BASE","UPSIDE")&amp;" CASE"</f>
        <v>CURRENTLY VIEWING BASE CASE</v>
      </c>
      <c r="N2" s="2"/>
      <c r="O2" s="96"/>
      <c r="P2" s="96"/>
      <c r="Q2" s="96"/>
      <c r="R2" s="96"/>
      <c r="S2" s="96"/>
    </row>
    <row r="3" spans="1:19" x14ac:dyDescent="0.3">
      <c r="B3" s="4" t="s">
        <v>120</v>
      </c>
      <c r="C3" s="6">
        <v>2026</v>
      </c>
      <c r="D3" s="6">
        <f t="shared" ref="D3:G3" si="0">C3+1</f>
        <v>2027</v>
      </c>
      <c r="E3" s="6">
        <f t="shared" si="0"/>
        <v>2028</v>
      </c>
      <c r="F3" s="6">
        <f t="shared" si="0"/>
        <v>2029</v>
      </c>
      <c r="G3" s="6">
        <f t="shared" si="0"/>
        <v>2030</v>
      </c>
      <c r="I3" s="186" t="s">
        <v>121</v>
      </c>
      <c r="J3" s="187"/>
    </row>
    <row r="4" spans="1:19" x14ac:dyDescent="0.3">
      <c r="B4" s="1" t="s">
        <v>122</v>
      </c>
      <c r="C4" s="1">
        <f ca="1">'FCF Calculation'!C12</f>
        <v>-25662.457886699587</v>
      </c>
      <c r="D4" s="1">
        <f ca="1">'FCF Calculation'!D12</f>
        <v>34345.018692733953</v>
      </c>
      <c r="E4" s="1">
        <f ca="1">'FCF Calculation'!E12</f>
        <v>82120.707914132887</v>
      </c>
      <c r="F4" s="1">
        <f ca="1">'FCF Calculation'!F12</f>
        <v>162441.46446724364</v>
      </c>
      <c r="G4" s="1">
        <f ca="1">'FCF Calculation'!G12</f>
        <v>196499.67604595536</v>
      </c>
      <c r="I4" s="17" t="s">
        <v>123</v>
      </c>
      <c r="J4" s="26">
        <f ca="1">TODAY()</f>
        <v>46129</v>
      </c>
    </row>
    <row r="5" spans="1:19" x14ac:dyDescent="0.3">
      <c r="B5" s="1" t="s">
        <v>124</v>
      </c>
      <c r="C5" s="30">
        <f>(1/(1+($J$7)))</f>
        <v>0.91202100046914725</v>
      </c>
      <c r="D5" s="30">
        <f>(C5/(1+$J$7))</f>
        <v>0.83178230529674435</v>
      </c>
      <c r="E5" s="30">
        <f>(D5/(1+$J$7))</f>
        <v>0.7586029302492705</v>
      </c>
      <c r="F5" s="30">
        <f>(E5/(1+$J$7))</f>
        <v>0.69186180340476644</v>
      </c>
      <c r="G5" s="30">
        <f>(F5/(1+$J$7))</f>
        <v>0.63099249412760361</v>
      </c>
      <c r="I5" s="17" t="s">
        <v>125</v>
      </c>
      <c r="J5" s="26">
        <v>46387</v>
      </c>
    </row>
    <row r="6" spans="1:19" x14ac:dyDescent="0.3">
      <c r="B6" s="1" t="s">
        <v>126</v>
      </c>
      <c r="C6" s="3">
        <f ca="1">C4*C5</f>
        <v>-23404.700516325116</v>
      </c>
      <c r="D6" s="3">
        <f ca="1">D4*D5</f>
        <v>28567.578823702024</v>
      </c>
      <c r="E6" s="3">
        <f ca="1">E4*E5</f>
        <v>62297.009657805669</v>
      </c>
      <c r="F6" s="3">
        <f ca="1">F4*F5</f>
        <v>112387.04455401847</v>
      </c>
      <c r="G6" s="3">
        <f ca="1">G4*G5</f>
        <v>123989.82068350349</v>
      </c>
      <c r="I6" s="17"/>
      <c r="J6" s="75"/>
    </row>
    <row r="7" spans="1:19" x14ac:dyDescent="0.3">
      <c r="I7" s="17" t="s">
        <v>107</v>
      </c>
      <c r="J7" s="27">
        <f>'WACC Calculation'!K11</f>
        <v>9.6465979934229562E-2</v>
      </c>
    </row>
    <row r="8" spans="1:19" ht="16.2" thickBot="1" x14ac:dyDescent="0.35">
      <c r="I8" s="28" t="s">
        <v>127</v>
      </c>
      <c r="J8" s="29">
        <v>0.03</v>
      </c>
    </row>
    <row r="9" spans="1:19" ht="16.2" thickBot="1" x14ac:dyDescent="0.35">
      <c r="C9" s="96" t="s">
        <v>128</v>
      </c>
      <c r="D9" s="95"/>
      <c r="E9" s="95"/>
      <c r="F9" s="95"/>
      <c r="G9" s="95"/>
    </row>
    <row r="10" spans="1:19" x14ac:dyDescent="0.3">
      <c r="B10" s="119" t="s">
        <v>107</v>
      </c>
      <c r="C10" s="92">
        <f>D10-0.005</f>
        <v>1.9999999999999997E-2</v>
      </c>
      <c r="D10" s="92">
        <f>E10-0.005</f>
        <v>2.4999999999999998E-2</v>
      </c>
      <c r="E10" s="93">
        <f>J8</f>
        <v>0.03</v>
      </c>
      <c r="F10" s="92">
        <f>E10+0.005</f>
        <v>3.4999999999999996E-2</v>
      </c>
      <c r="G10" s="172">
        <f>F10+0.005</f>
        <v>3.9999999999999994E-2</v>
      </c>
      <c r="I10" s="186" t="s">
        <v>129</v>
      </c>
      <c r="J10" s="187"/>
    </row>
    <row r="11" spans="1:19" ht="16.2" thickBot="1" x14ac:dyDescent="0.35">
      <c r="B11" s="94">
        <f>B12-0.01</f>
        <v>7.6465979934229572E-2</v>
      </c>
      <c r="C11" s="91">
        <f t="shared" ref="C11:G15" ca="1" si="1">(($C$4*1/(1+$B11)+$D$4*1/(1+$B11)^2+$E$4*1/(1+$B11)^3+$F$4*1/(1+$B11)^4+$G$4*1/(1+$B11)^5+(($G$4*(1+C$10))/($B11-C$10))*1/(1+$B11)^5)-$J$15+$J$16)/$J$18</f>
        <v>261.33450888637515</v>
      </c>
      <c r="D11" s="173">
        <f t="shared" ca="1" si="1"/>
        <v>284.78892783256589</v>
      </c>
      <c r="E11" s="173">
        <f t="shared" ca="1" si="1"/>
        <v>313.2910007783903</v>
      </c>
      <c r="F11" s="173">
        <f t="shared" ca="1" si="1"/>
        <v>348.66667781871149</v>
      </c>
      <c r="G11" s="174">
        <f t="shared" ca="1" si="1"/>
        <v>393.74336306013549</v>
      </c>
      <c r="I11" s="17" t="s">
        <v>130</v>
      </c>
      <c r="J11" s="24">
        <f ca="1">(G4*(1+J8))/(J7-J8)</f>
        <v>3045086.6221728879</v>
      </c>
    </row>
    <row r="12" spans="1:19" x14ac:dyDescent="0.3">
      <c r="A12" s="115"/>
      <c r="B12" s="94">
        <f>B13-0.01</f>
        <v>8.6465979934229567E-2</v>
      </c>
      <c r="C12" s="175">
        <f t="shared" ca="1" si="1"/>
        <v>216.95746900728395</v>
      </c>
      <c r="D12" s="176">
        <f t="shared" ca="1" si="1"/>
        <v>233.03555254755483</v>
      </c>
      <c r="E12" s="177">
        <f t="shared" ca="1" si="1"/>
        <v>251.9610290771972</v>
      </c>
      <c r="F12" s="178">
        <f t="shared" ca="1" si="1"/>
        <v>274.56378456933618</v>
      </c>
      <c r="G12" s="179">
        <f t="shared" ca="1" si="1"/>
        <v>302.03090653435117</v>
      </c>
      <c r="I12" s="17" t="s">
        <v>131</v>
      </c>
      <c r="J12" s="24">
        <f ca="1">J11*G5</f>
        <v>1921426.8025594703</v>
      </c>
    </row>
    <row r="13" spans="1:19" x14ac:dyDescent="0.3">
      <c r="B13" s="94">
        <f>J7</f>
        <v>9.6465979934229562E-2</v>
      </c>
      <c r="C13" s="175">
        <f t="shared" ca="1" si="1"/>
        <v>184.34528413136283</v>
      </c>
      <c r="D13" s="180">
        <f t="shared" ca="1" si="1"/>
        <v>195.9326514351331</v>
      </c>
      <c r="E13" s="91">
        <f t="shared" ca="1" si="1"/>
        <v>209.26337185206549</v>
      </c>
      <c r="F13" s="174">
        <f t="shared" ca="1" si="1"/>
        <v>224.7628888018435</v>
      </c>
      <c r="G13" s="179">
        <f t="shared" ca="1" si="1"/>
        <v>243.0073358790774</v>
      </c>
      <c r="I13" s="17" t="s">
        <v>132</v>
      </c>
      <c r="J13" s="24">
        <f ca="1">SUM(C6:G6)</f>
        <v>303836.75320270454</v>
      </c>
    </row>
    <row r="14" spans="1:19" ht="16.2" thickBot="1" x14ac:dyDescent="0.35">
      <c r="B14" s="94">
        <f>B13+0.01</f>
        <v>0.10646597993422956</v>
      </c>
      <c r="C14" s="175">
        <f t="shared" ca="1" si="1"/>
        <v>159.40982110848003</v>
      </c>
      <c r="D14" s="181">
        <f t="shared" ca="1" si="1"/>
        <v>168.0786257429933</v>
      </c>
      <c r="E14" s="182">
        <f t="shared" ca="1" si="1"/>
        <v>177.88111160960091</v>
      </c>
      <c r="F14" s="183">
        <f t="shared" ca="1" si="1"/>
        <v>189.05522714890427</v>
      </c>
      <c r="G14" s="179">
        <f t="shared" ca="1" si="1"/>
        <v>201.91052087144681</v>
      </c>
      <c r="I14" s="17" t="s">
        <v>133</v>
      </c>
      <c r="J14" s="24">
        <f ca="1">J13+J12</f>
        <v>2225263.555762175</v>
      </c>
    </row>
    <row r="15" spans="1:19" ht="16.2" thickBot="1" x14ac:dyDescent="0.35">
      <c r="B15" s="184">
        <f>B14+0.01</f>
        <v>0.11646597993422955</v>
      </c>
      <c r="C15" s="182">
        <f t="shared" ca="1" si="1"/>
        <v>139.75841105043304</v>
      </c>
      <c r="D15" s="185">
        <f t="shared" ca="1" si="1"/>
        <v>146.43442571924436</v>
      </c>
      <c r="E15" s="185">
        <f t="shared" ca="1" si="1"/>
        <v>153.88253765381151</v>
      </c>
      <c r="F15" s="185">
        <f t="shared" ca="1" si="1"/>
        <v>162.24490998769875</v>
      </c>
      <c r="G15" s="183">
        <f t="shared" ca="1" si="1"/>
        <v>171.70088922246919</v>
      </c>
      <c r="I15" s="25" t="s">
        <v>134</v>
      </c>
      <c r="J15" s="24">
        <f>'WACC Calculation'!H5</f>
        <v>65648</v>
      </c>
    </row>
    <row r="16" spans="1:19" x14ac:dyDescent="0.3">
      <c r="I16" s="25" t="s">
        <v>135</v>
      </c>
      <c r="J16" s="24">
        <v>86810</v>
      </c>
    </row>
    <row r="17" spans="6:10" x14ac:dyDescent="0.3">
      <c r="I17" s="17" t="s">
        <v>136</v>
      </c>
      <c r="J17" s="24">
        <f ca="1">J14-J15+J16</f>
        <v>2246425.555762175</v>
      </c>
    </row>
    <row r="18" spans="6:10" x14ac:dyDescent="0.3">
      <c r="I18" s="17" t="s">
        <v>137</v>
      </c>
      <c r="J18" s="24">
        <v>10734.92</v>
      </c>
    </row>
    <row r="19" spans="6:10" ht="16.2" thickBot="1" x14ac:dyDescent="0.35">
      <c r="I19" s="19" t="s">
        <v>138</v>
      </c>
      <c r="J19" s="58">
        <f ca="1">J17/J18</f>
        <v>209.26337185206549</v>
      </c>
    </row>
    <row r="22" spans="6:10" ht="16.2" thickBot="1" x14ac:dyDescent="0.35"/>
    <row r="23" spans="6:10" x14ac:dyDescent="0.3">
      <c r="F23" s="99" t="s">
        <v>139</v>
      </c>
      <c r="G23" s="102"/>
      <c r="I23" s="106" t="s">
        <v>2</v>
      </c>
      <c r="J23" s="107">
        <v>209.26337185206549</v>
      </c>
    </row>
    <row r="24" spans="6:10" x14ac:dyDescent="0.3">
      <c r="F24" s="21" t="s">
        <v>1</v>
      </c>
      <c r="G24" s="103">
        <v>0.1</v>
      </c>
      <c r="I24" s="108" t="s">
        <v>3</v>
      </c>
      <c r="J24" s="109">
        <v>264.96068925255349</v>
      </c>
    </row>
    <row r="25" spans="6:10" x14ac:dyDescent="0.3">
      <c r="F25" s="21" t="s">
        <v>2</v>
      </c>
      <c r="G25" s="104">
        <v>0.6</v>
      </c>
      <c r="I25" s="108" t="s">
        <v>1</v>
      </c>
      <c r="J25" s="109">
        <v>159.17312214902043</v>
      </c>
    </row>
    <row r="26" spans="6:10" ht="16.2" thickBot="1" x14ac:dyDescent="0.35">
      <c r="F26" s="22" t="s">
        <v>3</v>
      </c>
      <c r="G26" s="105">
        <v>0.3</v>
      </c>
      <c r="I26" s="97" t="s">
        <v>140</v>
      </c>
      <c r="J26" s="110">
        <f>(J23*DCF!$G$25)+(J24*DCF!$G$26)+(J25*DCF!$G$24)</f>
        <v>220.96354210190736</v>
      </c>
    </row>
  </sheetData>
  <mergeCells count="2">
    <mergeCell ref="I3:J3"/>
    <mergeCell ref="I10:J10"/>
  </mergeCells>
  <conditionalFormatting sqref="C11:G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72E0-F949-49C0-8565-F3BC4ED35249}">
  <dimension ref="A1:W57"/>
  <sheetViews>
    <sheetView showGridLines="0" zoomScale="70" zoomScaleNormal="70" workbookViewId="0">
      <selection activeCell="L32" sqref="L32"/>
    </sheetView>
  </sheetViews>
  <sheetFormatPr defaultRowHeight="15.6" x14ac:dyDescent="0.3"/>
  <cols>
    <col min="1" max="1" width="18.19921875" style="1" bestFit="1" customWidth="1"/>
    <col min="2" max="2" width="8.69921875" style="1"/>
    <col min="3" max="3" width="14.8984375" style="1" bestFit="1" customWidth="1"/>
    <col min="4" max="4" width="17.3984375" style="1" bestFit="1" customWidth="1"/>
    <col min="5" max="5" width="9.8984375" style="1" bestFit="1" customWidth="1"/>
    <col min="6" max="6" width="9.69921875" style="1" bestFit="1" customWidth="1"/>
    <col min="7" max="7" width="14.8984375" style="1" bestFit="1" customWidth="1"/>
    <col min="8" max="8" width="5.59765625" style="1" bestFit="1" customWidth="1"/>
    <col min="9" max="9" width="5.59765625" style="1" customWidth="1"/>
    <col min="10" max="10" width="21" style="1" bestFit="1" customWidth="1"/>
    <col min="11" max="11" width="14" style="1" bestFit="1" customWidth="1"/>
    <col min="12" max="12" width="17.19921875" style="1" bestFit="1" customWidth="1"/>
    <col min="13" max="13" width="16.8984375" style="1" bestFit="1" customWidth="1"/>
    <col min="14" max="15" width="17.3984375" style="1" bestFit="1" customWidth="1"/>
    <col min="16" max="16" width="14" style="1" bestFit="1" customWidth="1"/>
    <col min="17" max="17" width="17.19921875" bestFit="1" customWidth="1"/>
    <col min="18" max="18" width="13.69921875" bestFit="1" customWidth="1"/>
    <col min="19" max="19" width="17.3984375" bestFit="1" customWidth="1"/>
    <col min="20" max="20" width="17" customWidth="1"/>
    <col min="21" max="21" width="18" customWidth="1"/>
    <col min="22" max="22" width="17.3984375" bestFit="1" customWidth="1"/>
  </cols>
  <sheetData>
    <row r="1" spans="1:23" x14ac:dyDescent="0.3">
      <c r="A1" s="133" t="s">
        <v>141</v>
      </c>
      <c r="B1" s="128"/>
      <c r="C1" s="128"/>
      <c r="D1" s="128"/>
      <c r="E1" s="128"/>
      <c r="F1" s="128"/>
      <c r="G1" s="128"/>
      <c r="H1" s="128"/>
      <c r="I1" s="128"/>
    </row>
    <row r="2" spans="1:23" x14ac:dyDescent="0.3">
      <c r="A2" s="130" t="s">
        <v>142</v>
      </c>
      <c r="B2" s="130"/>
      <c r="C2" s="130" t="s">
        <v>143</v>
      </c>
      <c r="D2" s="130" t="s">
        <v>144</v>
      </c>
      <c r="E2" s="130" t="s">
        <v>145</v>
      </c>
      <c r="F2" s="130" t="s">
        <v>146</v>
      </c>
      <c r="G2" s="130" t="s">
        <v>147</v>
      </c>
      <c r="H2" s="130"/>
      <c r="I2" s="128"/>
      <c r="J2" s="147" t="s">
        <v>148</v>
      </c>
      <c r="K2" s="128"/>
      <c r="L2" s="128"/>
      <c r="M2" s="128"/>
      <c r="N2" s="128"/>
    </row>
    <row r="3" spans="1:23" x14ac:dyDescent="0.3">
      <c r="A3" s="128" t="s">
        <v>149</v>
      </c>
      <c r="B3" s="128"/>
      <c r="C3" s="134">
        <f t="shared" ref="C3:C8" si="0">C39</f>
        <v>248.8</v>
      </c>
      <c r="D3" s="128">
        <v>14.78</v>
      </c>
      <c r="E3" s="128">
        <v>90.51</v>
      </c>
      <c r="F3" s="128">
        <v>45.32</v>
      </c>
      <c r="G3" s="134">
        <f t="shared" ref="G3:G8" si="1">C3*D3+E3-F3</f>
        <v>3722.4540000000002</v>
      </c>
      <c r="H3" s="128"/>
      <c r="I3" s="128"/>
      <c r="J3" s="143" t="s">
        <v>150</v>
      </c>
      <c r="K3" s="144" t="s">
        <v>151</v>
      </c>
      <c r="L3" s="144" t="s">
        <v>152</v>
      </c>
      <c r="M3" s="144" t="s">
        <v>153</v>
      </c>
      <c r="N3" s="144" t="s">
        <v>154</v>
      </c>
      <c r="O3" s="98" t="s">
        <v>155</v>
      </c>
      <c r="Q3" s="1"/>
      <c r="W3" s="1"/>
    </row>
    <row r="4" spans="1:23" x14ac:dyDescent="0.3">
      <c r="A4" s="128" t="s">
        <v>156</v>
      </c>
      <c r="B4" s="128"/>
      <c r="C4" s="134">
        <f t="shared" si="0"/>
        <v>274.33999999999997</v>
      </c>
      <c r="D4" s="128">
        <v>12.07</v>
      </c>
      <c r="E4" s="128">
        <v>59.29</v>
      </c>
      <c r="F4" s="128">
        <v>30.71</v>
      </c>
      <c r="G4" s="134">
        <f t="shared" si="1"/>
        <v>3339.8637999999996</v>
      </c>
      <c r="H4" s="128"/>
      <c r="I4" s="128"/>
      <c r="J4" s="106" t="s">
        <v>157</v>
      </c>
      <c r="K4" s="160">
        <f>'FCF Components'!G28/1000</f>
        <v>716.92399999999998</v>
      </c>
      <c r="L4" s="160">
        <f>G18</f>
        <v>5.7256333141865818</v>
      </c>
      <c r="M4" s="160">
        <f>L4*K4</f>
        <v>4104.8439381399012</v>
      </c>
      <c r="N4" s="160">
        <f>M4-$L$12+$L$13</f>
        <v>4126.0059381399014</v>
      </c>
      <c r="O4" s="161">
        <f>N4/$L$15</f>
        <v>385.96875005985981</v>
      </c>
      <c r="Q4" s="1"/>
      <c r="W4" s="1"/>
    </row>
    <row r="5" spans="1:23" x14ac:dyDescent="0.3">
      <c r="A5" s="128" t="s">
        <v>158</v>
      </c>
      <c r="B5" s="128"/>
      <c r="C5" s="134">
        <f t="shared" si="0"/>
        <v>525.72</v>
      </c>
      <c r="D5" s="128">
        <v>2.5299999999999998</v>
      </c>
      <c r="E5" s="128">
        <v>83.9</v>
      </c>
      <c r="F5" s="128">
        <v>35.869999999999997</v>
      </c>
      <c r="G5" s="134">
        <f t="shared" si="1"/>
        <v>1378.1016000000002</v>
      </c>
      <c r="H5" s="128"/>
      <c r="I5" s="128"/>
      <c r="J5" s="108" t="s">
        <v>159</v>
      </c>
      <c r="K5" s="162">
        <f>'FCF Components'!G45/1000 + ('FCF Components'!G63/1000)</f>
        <v>145.73099999999999</v>
      </c>
      <c r="L5" s="162">
        <f>G27</f>
        <v>16.46642129124152</v>
      </c>
      <c r="M5" s="162">
        <f>L5*K5</f>
        <v>2399.6680411939178</v>
      </c>
      <c r="N5" s="162">
        <f>M5-$L$12+$L$13</f>
        <v>2420.8300411939176</v>
      </c>
      <c r="O5" s="163">
        <f>N5/$L$15</f>
        <v>226.45744071037583</v>
      </c>
      <c r="Q5" s="1"/>
    </row>
    <row r="6" spans="1:23" x14ac:dyDescent="0.3">
      <c r="A6" s="128" t="s">
        <v>160</v>
      </c>
      <c r="B6" s="128"/>
      <c r="C6" s="134">
        <f t="shared" si="0"/>
        <v>356.77</v>
      </c>
      <c r="D6" s="128">
        <v>7.43</v>
      </c>
      <c r="E6" s="128">
        <v>57.61</v>
      </c>
      <c r="F6" s="128">
        <v>24.3</v>
      </c>
      <c r="G6" s="134">
        <f t="shared" si="1"/>
        <v>2684.1110999999996</v>
      </c>
      <c r="H6" s="128"/>
      <c r="I6" s="128"/>
      <c r="J6" s="164" t="s">
        <v>161</v>
      </c>
      <c r="K6" s="165">
        <v>24.2</v>
      </c>
      <c r="L6" s="165">
        <f>G36</f>
        <v>23.908474416456489</v>
      </c>
      <c r="M6" s="165">
        <f>L6*K6</f>
        <v>578.58508087824703</v>
      </c>
      <c r="N6" s="165">
        <f>M6-$L$12+$L$13</f>
        <v>599.74708087824706</v>
      </c>
      <c r="O6" s="166">
        <f>N6/$L$15</f>
        <v>56.103562289826669</v>
      </c>
      <c r="Q6" s="1"/>
    </row>
    <row r="7" spans="1:23" x14ac:dyDescent="0.3">
      <c r="A7" s="128" t="s">
        <v>162</v>
      </c>
      <c r="B7" s="128"/>
      <c r="C7" s="134">
        <f t="shared" si="0"/>
        <v>122.89</v>
      </c>
      <c r="D7" s="128">
        <v>7.97</v>
      </c>
      <c r="E7" s="128">
        <v>67.099999999999994</v>
      </c>
      <c r="F7" s="128">
        <v>10.73</v>
      </c>
      <c r="G7" s="134">
        <f t="shared" si="1"/>
        <v>1035.8032999999998</v>
      </c>
      <c r="H7" s="128"/>
      <c r="I7" s="128"/>
      <c r="K7" s="162"/>
      <c r="L7" s="162"/>
      <c r="M7" s="162"/>
      <c r="N7" s="162"/>
      <c r="O7" s="162"/>
      <c r="Q7" s="1"/>
    </row>
    <row r="8" spans="1:23" x14ac:dyDescent="0.3">
      <c r="A8" s="128" t="s">
        <v>163</v>
      </c>
      <c r="B8" s="128"/>
      <c r="C8" s="134">
        <f t="shared" si="0"/>
        <v>122.69</v>
      </c>
      <c r="D8" s="128">
        <v>2.39</v>
      </c>
      <c r="E8" s="128">
        <v>262.74</v>
      </c>
      <c r="F8" s="128">
        <v>128.16999999999999</v>
      </c>
      <c r="G8" s="134">
        <f t="shared" si="1"/>
        <v>427.79910000000007</v>
      </c>
      <c r="H8" s="128" t="s">
        <v>164</v>
      </c>
      <c r="I8" s="128"/>
      <c r="J8" s="2" t="s">
        <v>165</v>
      </c>
      <c r="K8" s="162"/>
      <c r="L8" s="162"/>
      <c r="M8" s="162"/>
      <c r="N8" s="162"/>
      <c r="O8" s="162"/>
      <c r="Q8" s="1"/>
    </row>
    <row r="9" spans="1:23" x14ac:dyDescent="0.3">
      <c r="A9" s="142"/>
      <c r="B9" s="142"/>
      <c r="C9" s="142"/>
      <c r="D9" s="142"/>
      <c r="E9" s="142"/>
      <c r="F9" s="142"/>
      <c r="G9" s="154"/>
      <c r="H9" s="128"/>
      <c r="I9" s="128"/>
      <c r="J9" s="97" t="s">
        <v>150</v>
      </c>
      <c r="K9" s="145" t="s">
        <v>151</v>
      </c>
      <c r="L9" s="145" t="s">
        <v>152</v>
      </c>
      <c r="M9" s="145" t="s">
        <v>153</v>
      </c>
      <c r="N9" s="146" t="s">
        <v>155</v>
      </c>
      <c r="O9" s="162"/>
      <c r="Q9" s="1"/>
    </row>
    <row r="10" spans="1:23" x14ac:dyDescent="0.3">
      <c r="A10" s="128"/>
      <c r="B10" s="128"/>
      <c r="C10" s="128"/>
      <c r="D10" s="128"/>
      <c r="E10" s="128"/>
      <c r="F10" s="128"/>
      <c r="G10" s="134"/>
      <c r="H10" s="128"/>
      <c r="I10" s="128"/>
      <c r="J10" s="97" t="s">
        <v>166</v>
      </c>
      <c r="K10" s="167">
        <f>'FCF Components'!G54/1000/L15</f>
        <v>7.3174929840972878</v>
      </c>
      <c r="L10" s="167">
        <f>G45</f>
        <v>24.773880387870832</v>
      </c>
      <c r="M10" s="167">
        <f>L10*K10</f>
        <v>181.28269592711021</v>
      </c>
      <c r="N10" s="168">
        <f>L10*K10</f>
        <v>181.28269592711021</v>
      </c>
      <c r="O10" s="162"/>
      <c r="Q10" s="1"/>
    </row>
    <row r="11" spans="1:23" x14ac:dyDescent="0.3">
      <c r="A11" s="135" t="s">
        <v>142</v>
      </c>
      <c r="B11" s="135"/>
      <c r="C11" s="135" t="s">
        <v>147</v>
      </c>
      <c r="D11" s="135"/>
      <c r="E11" s="135" t="s">
        <v>167</v>
      </c>
      <c r="F11" s="135"/>
      <c r="G11" s="155" t="s">
        <v>168</v>
      </c>
      <c r="H11" s="128"/>
      <c r="I11" s="128"/>
      <c r="J11" s="122" t="s">
        <v>169</v>
      </c>
      <c r="K11" s="131"/>
      <c r="L11" s="123">
        <f>AVERAGE(M4:M6)</f>
        <v>2361.0323534040222</v>
      </c>
      <c r="M11" s="128"/>
      <c r="Q11" s="1"/>
    </row>
    <row r="12" spans="1:23" x14ac:dyDescent="0.3">
      <c r="A12" s="128" t="s">
        <v>149</v>
      </c>
      <c r="B12" s="128"/>
      <c r="C12" s="134">
        <f t="shared" ref="C12:C17" si="2">G3</f>
        <v>3722.4540000000002</v>
      </c>
      <c r="D12" s="128"/>
      <c r="E12" s="128">
        <v>435.62</v>
      </c>
      <c r="F12" s="128"/>
      <c r="G12" s="134">
        <f t="shared" ref="G12:G17" si="3">C12/E12</f>
        <v>8.5451861714338193</v>
      </c>
      <c r="H12" s="128"/>
      <c r="I12" s="128"/>
      <c r="J12" s="124" t="s">
        <v>111</v>
      </c>
      <c r="K12" s="128"/>
      <c r="L12" s="125">
        <f>'WACC Calculation'!H5/1000</f>
        <v>65.647999999999996</v>
      </c>
      <c r="M12" s="128"/>
      <c r="Q12" s="1"/>
    </row>
    <row r="13" spans="1:23" x14ac:dyDescent="0.3">
      <c r="A13" s="128" t="s">
        <v>156</v>
      </c>
      <c r="B13" s="128"/>
      <c r="C13" s="134">
        <f t="shared" si="2"/>
        <v>3339.8637999999996</v>
      </c>
      <c r="D13" s="128"/>
      <c r="E13" s="128">
        <v>402.84</v>
      </c>
      <c r="F13" s="128"/>
      <c r="G13" s="134">
        <f t="shared" si="3"/>
        <v>8.2907948565187173</v>
      </c>
      <c r="H13" s="128"/>
      <c r="I13" s="128"/>
      <c r="J13" s="108" t="s">
        <v>170</v>
      </c>
      <c r="L13" s="126">
        <v>86.81</v>
      </c>
      <c r="M13" s="128"/>
      <c r="Q13" s="1"/>
    </row>
    <row r="14" spans="1:23" x14ac:dyDescent="0.3">
      <c r="A14" s="128" t="s">
        <v>158</v>
      </c>
      <c r="B14" s="128"/>
      <c r="C14" s="134">
        <f t="shared" si="2"/>
        <v>1378.1016000000002</v>
      </c>
      <c r="D14" s="128"/>
      <c r="E14" s="128">
        <v>200.97</v>
      </c>
      <c r="F14" s="128"/>
      <c r="G14" s="134">
        <f t="shared" si="3"/>
        <v>6.8572503358710266</v>
      </c>
      <c r="H14" s="128"/>
      <c r="I14" s="128"/>
      <c r="J14" s="124" t="s">
        <v>171</v>
      </c>
      <c r="K14" s="128"/>
      <c r="L14" s="127">
        <f>L11-L12+L13</f>
        <v>2382.194353404022</v>
      </c>
      <c r="M14" s="128"/>
      <c r="Q14" s="1"/>
    </row>
    <row r="15" spans="1:23" x14ac:dyDescent="0.3">
      <c r="A15" s="128" t="s">
        <v>160</v>
      </c>
      <c r="B15" s="128"/>
      <c r="C15" s="134">
        <f t="shared" si="2"/>
        <v>2684.1110999999996</v>
      </c>
      <c r="D15" s="128"/>
      <c r="E15" s="128">
        <v>305.45</v>
      </c>
      <c r="F15" s="128"/>
      <c r="G15" s="134">
        <f t="shared" si="3"/>
        <v>8.787399247012603</v>
      </c>
      <c r="H15" s="128"/>
      <c r="I15" s="128"/>
      <c r="J15" s="129" t="s">
        <v>144</v>
      </c>
      <c r="K15" s="132"/>
      <c r="L15" s="153">
        <f>10.69</f>
        <v>10.69</v>
      </c>
      <c r="M15" s="128"/>
      <c r="N15" s="128"/>
      <c r="Q15" s="1"/>
    </row>
    <row r="16" spans="1:23" x14ac:dyDescent="0.3">
      <c r="A16" s="128" t="s">
        <v>162</v>
      </c>
      <c r="B16" s="128"/>
      <c r="C16" s="134">
        <f t="shared" si="2"/>
        <v>1035.8032999999998</v>
      </c>
      <c r="D16" s="128"/>
      <c r="E16" s="128">
        <v>713.16</v>
      </c>
      <c r="F16" s="128"/>
      <c r="G16" s="134">
        <f t="shared" si="3"/>
        <v>1.4524136238712209</v>
      </c>
      <c r="H16" s="128"/>
      <c r="I16" s="128"/>
      <c r="J16" s="148" t="s">
        <v>172</v>
      </c>
      <c r="K16" s="149"/>
      <c r="L16" s="150">
        <f>L14/L15</f>
        <v>222.84325102002077</v>
      </c>
      <c r="M16" s="128"/>
      <c r="N16" s="128"/>
      <c r="Q16" s="1"/>
    </row>
    <row r="17" spans="1:17" x14ac:dyDescent="0.3">
      <c r="A17" s="128" t="s">
        <v>163</v>
      </c>
      <c r="B17" s="130"/>
      <c r="C17" s="134">
        <f t="shared" si="2"/>
        <v>427.79910000000007</v>
      </c>
      <c r="D17" s="130"/>
      <c r="E17" s="130">
        <v>1016.74</v>
      </c>
      <c r="F17" s="130"/>
      <c r="G17" s="134">
        <f t="shared" si="3"/>
        <v>0.4207556504121015</v>
      </c>
      <c r="H17" s="128" t="s">
        <v>164</v>
      </c>
      <c r="I17" s="128"/>
      <c r="J17" s="129" t="s">
        <v>173</v>
      </c>
      <c r="K17" s="151"/>
      <c r="L17" s="152">
        <f>L16*0.75+N10*0.25</f>
        <v>212.45311224679315</v>
      </c>
      <c r="M17" s="128"/>
      <c r="N17" s="128"/>
      <c r="Q17" s="1"/>
    </row>
    <row r="18" spans="1:17" x14ac:dyDescent="0.3">
      <c r="A18" s="136" t="s">
        <v>174</v>
      </c>
      <c r="B18" s="128"/>
      <c r="C18" s="142"/>
      <c r="D18" s="128"/>
      <c r="E18" s="128"/>
      <c r="F18" s="141"/>
      <c r="G18" s="156">
        <f>AVERAGE(G12:G17)</f>
        <v>5.7256333141865818</v>
      </c>
      <c r="H18" s="128"/>
      <c r="I18" s="128"/>
      <c r="Q18" s="1"/>
    </row>
    <row r="19" spans="1:17" x14ac:dyDescent="0.3">
      <c r="A19" s="128"/>
      <c r="B19" s="128"/>
      <c r="C19" s="128"/>
      <c r="D19" s="128"/>
      <c r="E19" s="128"/>
      <c r="F19" s="128"/>
      <c r="G19" s="134"/>
      <c r="H19" s="128"/>
      <c r="I19" s="128"/>
      <c r="Q19" s="1"/>
    </row>
    <row r="20" spans="1:17" x14ac:dyDescent="0.3">
      <c r="A20" s="137" t="s">
        <v>142</v>
      </c>
      <c r="B20" s="137"/>
      <c r="C20" s="137" t="s">
        <v>147</v>
      </c>
      <c r="D20" s="137"/>
      <c r="E20" s="137" t="s">
        <v>175</v>
      </c>
      <c r="F20" s="137"/>
      <c r="G20" s="157" t="s">
        <v>176</v>
      </c>
      <c r="H20" s="128"/>
      <c r="I20" s="128"/>
      <c r="Q20" s="1"/>
    </row>
    <row r="21" spans="1:17" x14ac:dyDescent="0.3">
      <c r="A21" s="128" t="s">
        <v>149</v>
      </c>
      <c r="B21" s="128"/>
      <c r="C21" s="134">
        <f t="shared" ref="C21:C26" si="4">G3</f>
        <v>3722.4540000000002</v>
      </c>
      <c r="D21" s="128"/>
      <c r="E21" s="128">
        <v>152.97999999999999</v>
      </c>
      <c r="F21" s="128"/>
      <c r="G21" s="134">
        <f t="shared" ref="G21:G26" si="5">C21/E21</f>
        <v>24.332945483069686</v>
      </c>
      <c r="H21" s="128"/>
      <c r="I21" s="128"/>
      <c r="J21" s="128"/>
      <c r="K21" s="128"/>
      <c r="L21" s="128"/>
      <c r="M21" s="128"/>
      <c r="N21" s="128"/>
      <c r="Q21" s="1"/>
    </row>
    <row r="22" spans="1:17" x14ac:dyDescent="0.3">
      <c r="A22" s="128" t="s">
        <v>156</v>
      </c>
      <c r="B22" s="128"/>
      <c r="C22" s="134">
        <f t="shared" si="4"/>
        <v>3339.8637999999996</v>
      </c>
      <c r="D22" s="128"/>
      <c r="E22" s="128">
        <v>176.36</v>
      </c>
      <c r="F22" s="128"/>
      <c r="G22" s="134">
        <f t="shared" si="5"/>
        <v>18.937762531186205</v>
      </c>
      <c r="H22" s="128"/>
      <c r="I22" s="128"/>
      <c r="J22" s="128"/>
      <c r="K22" s="128"/>
      <c r="L22" s="128"/>
      <c r="M22" s="128"/>
      <c r="N22" s="128"/>
      <c r="Q22" s="1"/>
    </row>
    <row r="23" spans="1:17" x14ac:dyDescent="0.3">
      <c r="A23" s="128" t="s">
        <v>158</v>
      </c>
      <c r="B23" s="128"/>
      <c r="C23" s="134">
        <f t="shared" si="4"/>
        <v>1378.1016000000002</v>
      </c>
      <c r="D23" s="128"/>
      <c r="E23" s="128">
        <v>103.59</v>
      </c>
      <c r="F23" s="128"/>
      <c r="G23" s="134">
        <f t="shared" si="5"/>
        <v>13.303423110338837</v>
      </c>
      <c r="H23" s="128"/>
      <c r="I23" s="128"/>
      <c r="J23" s="128"/>
      <c r="K23" s="128"/>
      <c r="L23" s="128"/>
      <c r="M23" s="128"/>
      <c r="N23" s="128"/>
      <c r="Q23" s="1"/>
    </row>
    <row r="24" spans="1:17" x14ac:dyDescent="0.3">
      <c r="A24" s="128" t="s">
        <v>160</v>
      </c>
      <c r="B24" s="128"/>
      <c r="C24" s="134">
        <f t="shared" si="4"/>
        <v>2684.1110999999996</v>
      </c>
      <c r="D24" s="128"/>
      <c r="E24" s="128">
        <v>183.29</v>
      </c>
      <c r="F24" s="128"/>
      <c r="G24" s="134">
        <f t="shared" si="5"/>
        <v>14.644067325004091</v>
      </c>
      <c r="H24" s="128"/>
      <c r="I24" s="128"/>
      <c r="J24" s="128"/>
      <c r="K24" s="128"/>
      <c r="L24" s="128"/>
      <c r="M24" s="128"/>
      <c r="N24" s="128"/>
      <c r="Q24" s="1"/>
    </row>
    <row r="25" spans="1:17" x14ac:dyDescent="0.3">
      <c r="A25" s="128" t="s">
        <v>162</v>
      </c>
      <c r="B25" s="128"/>
      <c r="C25" s="134">
        <f t="shared" si="4"/>
        <v>1035.8032999999998</v>
      </c>
      <c r="D25" s="128"/>
      <c r="E25" s="128">
        <v>46.1</v>
      </c>
      <c r="F25" s="128"/>
      <c r="G25" s="134">
        <f t="shared" si="5"/>
        <v>22.468618221258129</v>
      </c>
      <c r="H25" s="128"/>
      <c r="I25" s="128"/>
      <c r="J25" s="128"/>
      <c r="K25" s="128"/>
      <c r="L25" s="128"/>
      <c r="M25" s="128"/>
      <c r="N25" s="128"/>
      <c r="Q25" s="1"/>
    </row>
    <row r="26" spans="1:17" x14ac:dyDescent="0.3">
      <c r="A26" s="128" t="s">
        <v>163</v>
      </c>
      <c r="B26" s="130"/>
      <c r="C26" s="134">
        <f t="shared" si="4"/>
        <v>427.79910000000007</v>
      </c>
      <c r="D26" s="130"/>
      <c r="E26" s="130">
        <v>83.69</v>
      </c>
      <c r="F26" s="130"/>
      <c r="G26" s="134">
        <f t="shared" si="5"/>
        <v>5.1117110765921865</v>
      </c>
      <c r="H26" s="128" t="s">
        <v>164</v>
      </c>
      <c r="I26" s="128"/>
      <c r="J26" s="128"/>
      <c r="K26" s="128"/>
      <c r="L26" s="128"/>
      <c r="M26" s="128"/>
      <c r="N26" s="128"/>
      <c r="Q26" s="1"/>
    </row>
    <row r="27" spans="1:17" x14ac:dyDescent="0.3">
      <c r="A27" s="136" t="s">
        <v>177</v>
      </c>
      <c r="B27" s="128"/>
      <c r="C27" s="142"/>
      <c r="D27" s="128"/>
      <c r="E27" s="128"/>
      <c r="F27" s="141"/>
      <c r="G27" s="156">
        <f>AVERAGE(G21:G26)</f>
        <v>16.46642129124152</v>
      </c>
      <c r="H27" s="128"/>
      <c r="I27" s="128"/>
      <c r="J27" s="128"/>
      <c r="K27" s="128"/>
      <c r="L27" s="128"/>
      <c r="M27" s="128"/>
      <c r="N27" s="128"/>
      <c r="Q27" s="1"/>
    </row>
    <row r="28" spans="1:17" x14ac:dyDescent="0.3">
      <c r="A28" s="128"/>
      <c r="B28" s="128"/>
      <c r="C28" s="128"/>
      <c r="D28" s="128"/>
      <c r="E28" s="128"/>
      <c r="F28" s="128"/>
      <c r="G28" s="134"/>
      <c r="H28" s="128"/>
      <c r="I28" s="128"/>
      <c r="J28" s="128"/>
      <c r="K28" s="128"/>
      <c r="L28" s="128"/>
      <c r="M28" s="128"/>
      <c r="N28" s="128"/>
      <c r="Q28" s="1"/>
    </row>
    <row r="29" spans="1:17" x14ac:dyDescent="0.3">
      <c r="A29" s="138" t="s">
        <v>142</v>
      </c>
      <c r="B29" s="138"/>
      <c r="C29" s="138" t="s">
        <v>147</v>
      </c>
      <c r="D29" s="138"/>
      <c r="E29" s="138" t="s">
        <v>122</v>
      </c>
      <c r="F29" s="138"/>
      <c r="G29" s="158" t="s">
        <v>178</v>
      </c>
      <c r="H29" s="128"/>
      <c r="I29" s="128"/>
      <c r="J29" s="128"/>
      <c r="K29" s="128"/>
      <c r="L29" s="128"/>
      <c r="M29" s="128"/>
      <c r="N29" s="128"/>
      <c r="Q29" s="1"/>
    </row>
    <row r="30" spans="1:17" x14ac:dyDescent="0.3">
      <c r="A30" s="128" t="s">
        <v>149</v>
      </c>
      <c r="B30" s="128"/>
      <c r="C30" s="134">
        <f t="shared" ref="C30:C35" si="6">G3</f>
        <v>3722.4540000000002</v>
      </c>
      <c r="D30" s="128"/>
      <c r="E30" s="128">
        <v>132.02000000000001</v>
      </c>
      <c r="F30" s="128"/>
      <c r="G30" s="134">
        <f t="shared" ref="G30:G35" si="7">C30/E30</f>
        <v>28.196136948947128</v>
      </c>
      <c r="H30" s="128"/>
      <c r="I30" s="128"/>
      <c r="J30" s="128"/>
      <c r="K30" s="128"/>
      <c r="L30" s="128"/>
      <c r="M30" s="128"/>
      <c r="N30" s="128"/>
      <c r="Q30" s="1"/>
    </row>
    <row r="31" spans="1:17" x14ac:dyDescent="0.3">
      <c r="A31" s="128" t="s">
        <v>156</v>
      </c>
      <c r="B31" s="128"/>
      <c r="C31" s="134">
        <f t="shared" si="6"/>
        <v>3339.8637999999996</v>
      </c>
      <c r="D31" s="128"/>
      <c r="E31" s="128">
        <v>72.650000000000006</v>
      </c>
      <c r="F31" s="128"/>
      <c r="G31" s="134">
        <f t="shared" si="7"/>
        <v>45.97197247075016</v>
      </c>
      <c r="H31" s="128"/>
      <c r="I31" s="128"/>
      <c r="J31" s="128"/>
      <c r="K31" s="128"/>
      <c r="L31" s="128"/>
      <c r="M31" s="128"/>
      <c r="N31" s="128"/>
      <c r="Q31" s="1"/>
    </row>
    <row r="32" spans="1:17" x14ac:dyDescent="0.3">
      <c r="A32" s="128" t="s">
        <v>158</v>
      </c>
      <c r="B32" s="128"/>
      <c r="C32" s="134">
        <f t="shared" si="6"/>
        <v>1378.1016000000002</v>
      </c>
      <c r="D32" s="128"/>
      <c r="E32" s="128">
        <v>46.99</v>
      </c>
      <c r="F32" s="128"/>
      <c r="G32" s="134">
        <f t="shared" si="7"/>
        <v>29.327550542668657</v>
      </c>
      <c r="H32" s="128"/>
      <c r="I32" s="128"/>
      <c r="J32" s="128"/>
      <c r="K32" s="128"/>
      <c r="L32" s="128"/>
      <c r="M32" s="128"/>
      <c r="N32" s="128"/>
      <c r="Q32" s="1"/>
    </row>
    <row r="33" spans="1:17" x14ac:dyDescent="0.3">
      <c r="A33" s="128" t="s">
        <v>160</v>
      </c>
      <c r="B33" s="128"/>
      <c r="C33" s="134">
        <f t="shared" si="6"/>
        <v>2684.1110999999996</v>
      </c>
      <c r="D33" s="128"/>
      <c r="E33" s="128">
        <v>81.92</v>
      </c>
      <c r="F33" s="128"/>
      <c r="G33" s="134">
        <f t="shared" si="7"/>
        <v>32.765028076171866</v>
      </c>
      <c r="H33" s="128"/>
      <c r="I33" s="128"/>
      <c r="J33" s="128"/>
      <c r="K33" s="128"/>
      <c r="L33" s="128"/>
      <c r="M33" s="128"/>
      <c r="N33" s="128"/>
      <c r="Q33" s="1"/>
    </row>
    <row r="34" spans="1:17" x14ac:dyDescent="0.3">
      <c r="A34" s="128" t="s">
        <v>162</v>
      </c>
      <c r="B34" s="128"/>
      <c r="C34" s="134">
        <f t="shared" si="6"/>
        <v>1035.8032999999998</v>
      </c>
      <c r="D34" s="128"/>
      <c r="E34" s="128">
        <v>390.2</v>
      </c>
      <c r="F34" s="128"/>
      <c r="G34" s="134">
        <f t="shared" si="7"/>
        <v>2.6545445925166575</v>
      </c>
      <c r="H34" s="128"/>
      <c r="I34" s="128"/>
      <c r="J34" s="128"/>
      <c r="K34" s="128"/>
      <c r="L34" s="128"/>
      <c r="M34" s="128"/>
      <c r="N34" s="128"/>
      <c r="Q34" s="1"/>
    </row>
    <row r="35" spans="1:17" x14ac:dyDescent="0.3">
      <c r="A35" s="128" t="s">
        <v>163</v>
      </c>
      <c r="B35" s="130"/>
      <c r="C35" s="134">
        <f t="shared" si="6"/>
        <v>427.79910000000007</v>
      </c>
      <c r="D35" s="130"/>
      <c r="E35" s="130">
        <v>94.32</v>
      </c>
      <c r="F35" s="130"/>
      <c r="G35" s="134">
        <f t="shared" si="7"/>
        <v>4.5356138676844795</v>
      </c>
      <c r="H35" s="128" t="s">
        <v>164</v>
      </c>
      <c r="I35" s="128"/>
      <c r="J35" s="128"/>
      <c r="K35" s="128"/>
      <c r="L35" s="128"/>
      <c r="M35" s="128"/>
      <c r="N35" s="128"/>
      <c r="Q35" s="1"/>
    </row>
    <row r="36" spans="1:17" x14ac:dyDescent="0.3">
      <c r="A36" s="136" t="s">
        <v>179</v>
      </c>
      <c r="B36" s="128"/>
      <c r="C36" s="142"/>
      <c r="D36" s="128"/>
      <c r="E36" s="128"/>
      <c r="F36" s="141"/>
      <c r="G36" s="156">
        <f>AVERAGE(G30:G35)</f>
        <v>23.908474416456489</v>
      </c>
      <c r="H36" s="128"/>
      <c r="I36" s="128"/>
      <c r="J36" s="128"/>
      <c r="K36" s="128"/>
      <c r="L36" s="128"/>
      <c r="M36" s="128"/>
      <c r="N36" s="128"/>
      <c r="Q36" s="1"/>
    </row>
    <row r="37" spans="1:17" x14ac:dyDescent="0.3">
      <c r="A37" s="128"/>
      <c r="B37" s="128"/>
      <c r="C37" s="128"/>
      <c r="D37" s="128"/>
      <c r="E37" s="128"/>
      <c r="F37" s="128"/>
      <c r="G37" s="134"/>
      <c r="H37" s="128"/>
      <c r="I37" s="128"/>
      <c r="J37" s="128"/>
      <c r="K37" s="128"/>
      <c r="L37" s="128"/>
      <c r="M37" s="128"/>
      <c r="N37" s="128"/>
      <c r="Q37" s="1"/>
    </row>
    <row r="38" spans="1:17" x14ac:dyDescent="0.3">
      <c r="A38" s="139" t="s">
        <v>142</v>
      </c>
      <c r="B38" s="139"/>
      <c r="C38" s="140" t="s">
        <v>143</v>
      </c>
      <c r="D38" s="140"/>
      <c r="E38" s="140" t="s">
        <v>180</v>
      </c>
      <c r="F38" s="140"/>
      <c r="G38" s="159" t="s">
        <v>166</v>
      </c>
      <c r="H38" s="128"/>
      <c r="I38" s="128"/>
      <c r="J38" s="128"/>
      <c r="K38" s="128"/>
      <c r="L38" s="128"/>
      <c r="M38" s="128"/>
      <c r="N38" s="128"/>
      <c r="Q38" s="1"/>
    </row>
    <row r="39" spans="1:17" x14ac:dyDescent="0.3">
      <c r="A39" s="128" t="s">
        <v>149</v>
      </c>
      <c r="B39" s="128"/>
      <c r="C39" s="134">
        <v>248.8</v>
      </c>
      <c r="D39" s="128"/>
      <c r="E39" s="128">
        <v>7.92</v>
      </c>
      <c r="F39" s="128"/>
      <c r="G39" s="134">
        <f t="shared" ref="G39:G44" si="8">C39/E39</f>
        <v>31.414141414141415</v>
      </c>
      <c r="H39" s="128"/>
      <c r="I39" s="128"/>
      <c r="J39" s="128"/>
      <c r="K39" s="128"/>
      <c r="L39" s="128"/>
      <c r="M39" s="128"/>
      <c r="N39" s="128"/>
      <c r="Q39" s="1"/>
    </row>
    <row r="40" spans="1:17" x14ac:dyDescent="0.3">
      <c r="A40" s="128" t="s">
        <v>156</v>
      </c>
      <c r="B40" s="128"/>
      <c r="C40" s="134">
        <v>274.33999999999997</v>
      </c>
      <c r="D40" s="128"/>
      <c r="E40" s="128">
        <v>10.91</v>
      </c>
      <c r="F40" s="128"/>
      <c r="G40" s="134">
        <f t="shared" si="8"/>
        <v>25.145737855178734</v>
      </c>
      <c r="H40" s="128"/>
      <c r="I40" s="128"/>
      <c r="J40" s="128"/>
      <c r="K40" s="128"/>
      <c r="L40" s="128"/>
      <c r="M40" s="128"/>
      <c r="N40" s="128"/>
      <c r="Q40" s="1"/>
    </row>
    <row r="41" spans="1:17" x14ac:dyDescent="0.3">
      <c r="A41" s="128" t="s">
        <v>158</v>
      </c>
      <c r="B41" s="128"/>
      <c r="C41" s="134">
        <v>525.72</v>
      </c>
      <c r="D41" s="128"/>
      <c r="E41" s="128">
        <v>23.98</v>
      </c>
      <c r="F41" s="128"/>
      <c r="G41" s="134">
        <f t="shared" si="8"/>
        <v>21.923269391159302</v>
      </c>
      <c r="H41" s="128"/>
      <c r="I41" s="128"/>
      <c r="J41" s="128"/>
      <c r="K41" s="128"/>
      <c r="L41" s="128"/>
      <c r="M41" s="128"/>
      <c r="N41" s="128"/>
      <c r="Q41" s="1"/>
    </row>
    <row r="42" spans="1:17" x14ac:dyDescent="0.3">
      <c r="A42" s="128" t="s">
        <v>160</v>
      </c>
      <c r="B42" s="128"/>
      <c r="C42" s="134">
        <v>356.77</v>
      </c>
      <c r="D42" s="128"/>
      <c r="E42" s="128">
        <v>16.04</v>
      </c>
      <c r="F42" s="128"/>
      <c r="G42" s="134">
        <f t="shared" si="8"/>
        <v>22.242518703241895</v>
      </c>
      <c r="H42" s="128"/>
      <c r="I42" s="128"/>
      <c r="J42" s="128"/>
      <c r="K42" s="128"/>
      <c r="L42" s="128"/>
      <c r="M42" s="128"/>
      <c r="N42" s="128"/>
      <c r="Q42" s="1"/>
    </row>
    <row r="43" spans="1:17" x14ac:dyDescent="0.3">
      <c r="A43" s="128" t="s">
        <v>162</v>
      </c>
      <c r="B43" s="128"/>
      <c r="C43" s="134">
        <v>122.89</v>
      </c>
      <c r="D43" s="128"/>
      <c r="E43" s="128">
        <v>2.74</v>
      </c>
      <c r="F43" s="128"/>
      <c r="G43" s="134">
        <f t="shared" si="8"/>
        <v>44.850364963503644</v>
      </c>
      <c r="H43" s="128"/>
      <c r="I43" s="128"/>
      <c r="J43" s="128"/>
      <c r="K43" s="128"/>
      <c r="L43" s="128"/>
      <c r="M43" s="128"/>
      <c r="N43" s="128"/>
      <c r="Q43" s="1"/>
    </row>
    <row r="44" spans="1:17" x14ac:dyDescent="0.3">
      <c r="A44" s="128" t="s">
        <v>163</v>
      </c>
      <c r="B44" s="130"/>
      <c r="C44" s="134">
        <v>122.69</v>
      </c>
      <c r="D44" s="130"/>
      <c r="E44" s="130">
        <v>40</v>
      </c>
      <c r="F44" s="130"/>
      <c r="G44" s="134">
        <f t="shared" si="8"/>
        <v>3.06725</v>
      </c>
      <c r="H44" s="128" t="s">
        <v>164</v>
      </c>
      <c r="I44" s="128"/>
      <c r="J44" s="128"/>
      <c r="K44" s="128"/>
      <c r="L44" s="128"/>
      <c r="M44" s="128"/>
      <c r="N44" s="128"/>
      <c r="Q44" s="1"/>
    </row>
    <row r="45" spans="1:17" x14ac:dyDescent="0.3">
      <c r="A45" s="136" t="s">
        <v>181</v>
      </c>
      <c r="B45" s="128"/>
      <c r="C45" s="142"/>
      <c r="D45" s="128"/>
      <c r="E45" s="128"/>
      <c r="F45" s="141"/>
      <c r="G45" s="156">
        <f>AVERAGE(G39:G44)</f>
        <v>24.773880387870832</v>
      </c>
      <c r="H45" s="128"/>
      <c r="I45" s="128"/>
      <c r="J45" s="128"/>
      <c r="K45" s="128"/>
      <c r="L45" s="128"/>
      <c r="M45" s="128"/>
      <c r="N45" s="128"/>
      <c r="Q45" s="1"/>
    </row>
    <row r="46" spans="1:17" x14ac:dyDescent="0.3">
      <c r="Q46" s="1"/>
    </row>
    <row r="47" spans="1:17" x14ac:dyDescent="0.3">
      <c r="Q47" s="1"/>
    </row>
    <row r="48" spans="1:17" x14ac:dyDescent="0.3">
      <c r="Q48" s="1"/>
    </row>
    <row r="49" spans="17:17" x14ac:dyDescent="0.3">
      <c r="Q49" s="1"/>
    </row>
    <row r="50" spans="17:17" x14ac:dyDescent="0.3">
      <c r="Q50" s="1"/>
    </row>
    <row r="51" spans="17:17" x14ac:dyDescent="0.3">
      <c r="Q51" s="1"/>
    </row>
    <row r="52" spans="17:17" x14ac:dyDescent="0.3">
      <c r="Q52" s="1"/>
    </row>
    <row r="53" spans="17:17" x14ac:dyDescent="0.3">
      <c r="Q53" s="1"/>
    </row>
    <row r="54" spans="17:17" x14ac:dyDescent="0.3">
      <c r="Q54" s="1"/>
    </row>
    <row r="55" spans="17:17" x14ac:dyDescent="0.3">
      <c r="Q55" s="1"/>
    </row>
    <row r="56" spans="17:17" x14ac:dyDescent="0.3">
      <c r="Q56" s="1"/>
    </row>
    <row r="57" spans="17:17" x14ac:dyDescent="0.3">
      <c r="Q5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C0F3424CA244D8E11DA39916BC6B6" ma:contentTypeVersion="5" ma:contentTypeDescription="Create a new document." ma:contentTypeScope="" ma:versionID="a34f4094a35cacdbbcf20a1efac13855">
  <xsd:schema xmlns:xsd="http://www.w3.org/2001/XMLSchema" xmlns:xs="http://www.w3.org/2001/XMLSchema" xmlns:p="http://schemas.microsoft.com/office/2006/metadata/properties" xmlns:ns3="efbb2bcf-948f-4289-af13-5db644223272" targetNamespace="http://schemas.microsoft.com/office/2006/metadata/properties" ma:root="true" ma:fieldsID="738d787710e86791d298df3047a3fdbe" ns3:_="">
    <xsd:import namespace="efbb2bcf-948f-4289-af13-5db6442232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b2bcf-948f-4289-af13-5db644223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bb2bcf-948f-4289-af13-5db644223272" xsi:nil="true"/>
  </documentManagement>
</p:properties>
</file>

<file path=customXml/itemProps1.xml><?xml version="1.0" encoding="utf-8"?>
<ds:datastoreItem xmlns:ds="http://schemas.openxmlformats.org/officeDocument/2006/customXml" ds:itemID="{9F43268D-5A32-4777-8AEC-D578EE6517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C66D05-8E2C-4CB1-8FE5-77F91BC3A6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bb2bcf-948f-4289-af13-5db6442232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B32262-768E-4B58-986C-0F470C6A25EE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efbb2bcf-948f-4289-af13-5db644223272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FCF Components</vt:lpstr>
      <vt:lpstr>FCF Calculation</vt:lpstr>
      <vt:lpstr>WACC Calculation</vt:lpstr>
      <vt:lpstr>DCF</vt:lpstr>
      <vt:lpstr>Comps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Aayush Thakkar</dc:creator>
  <cp:keywords/>
  <dc:description/>
  <cp:lastModifiedBy>Gregory Seleznev</cp:lastModifiedBy>
  <cp:revision/>
  <dcterms:created xsi:type="dcterms:W3CDTF">2026-02-22T04:55:28Z</dcterms:created>
  <dcterms:modified xsi:type="dcterms:W3CDTF">2026-04-17T16:23:17Z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0x010100597C0F3424CA244D8E11DA39916BC6B6</vt:lpwstr>
  </property>
</Properties>
</file>